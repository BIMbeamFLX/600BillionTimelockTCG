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c5e6773c2a34d04" /></Relationships>
</file>

<file path=xl/workbook.xml><?xml version="1.0" encoding="utf-8"?>
<x:workbook xmlns:x="http://schemas.openxmlformats.org/spreadsheetml/2006/main">
  <x:sheets>
    <x:sheet xmlns:r="http://schemas.openxmlformats.org/officeDocument/2006/relationships" name="Dashboard" sheetId="1" r:id="R5cb735df47714173"/>
    <x:sheet xmlns:r="http://schemas.openxmlformats.org/officeDocument/2006/relationships" name="User Stories" sheetId="2" r:id="R9c5d2c3360344fb8"/>
    <x:sheet xmlns:r="http://schemas.openxmlformats.org/officeDocument/2006/relationships" name="Protocol" sheetId="3" r:id="R192b8196d3b64bff"/>
    <x:sheet xmlns:r="http://schemas.openxmlformats.org/officeDocument/2006/relationships" name="Defects" sheetId="4" r:id="Raaf288a987644303"/>
    <x:sheet xmlns:r="http://schemas.openxmlformats.org/officeDocument/2006/relationships" name="Test Runs" sheetId="5" r:id="R8b345dfbcc6d4f9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hh:mm"/>
    <x:numFmt numFmtId="201" formatCode="#,##0"/>
    <x:numFmt numFmtId="202" formatCode="yyyy-mm-dd"/>
    <x:numFmt numFmtId="203" formatCode="@"/>
  </x:numFmts>
  <x:fonts count="25">
    <x:font>
      <x:sz val="11"/>
      <x:name val="Carlito"/>
    </x:font>
    <x:font>
      <x:b/>
      <x:sz val="18"/>
      <x:color rgb="FFFFF7EC"/>
      <x:name val="Carlito"/>
    </x:font>
    <x:font>
      <x:i/>
      <x:sz val="11"/>
      <x:color rgb="FFB8AFBF"/>
      <x:name val="Carlito"/>
    </x:font>
    <x:font>
      <x:b/>
      <x:sz val="11"/>
      <x:color rgb="FFFFF7EC"/>
      <x:name val="Carlito"/>
    </x:font>
    <x:font>
      <x:b/>
      <x:sz val="11"/>
      <x:color rgb="FFFFFFFF"/>
      <x:name val="Carlito"/>
    </x:font>
    <x:font>
      <x:b/>
      <x:sz val="11"/>
      <x:color rgb="FF16683F"/>
      <x:name val="Carlito"/>
    </x:font>
    <x:font>
      <x:b/>
      <x:sz val="10"/>
      <x:color rgb="FF221B27"/>
      <x:name val="Arial"/>
    </x:font>
    <x:font>
      <x:sz val="10"/>
      <x:color rgb="FF221B27"/>
      <x:name val="Arial"/>
    </x:font>
    <x:font>
      <x:i/>
      <x:sz val="10"/>
      <x:color rgb="FF221B27"/>
      <x:name val="Arial"/>
    </x:font>
    <x:font>
      <x:b/>
      <x:sz val="10"/>
      <x:color rgb="FFFFF7EC"/>
      <x:name val="Arial"/>
    </x:font>
    <x:font>
      <x:sz val="10"/>
      <x:color rgb="FFFFF7EC"/>
      <x:name val="Arial"/>
    </x:font>
    <x:font>
      <x:i/>
      <x:sz val="10"/>
      <x:color rgb="FFFFF7EC"/>
      <x:name val="Arial"/>
    </x:font>
    <x:font>
      <x:b/>
      <x:sz val="9"/>
      <x:color rgb="FF221B27"/>
      <x:name val="Arial"/>
    </x:font>
    <x:font>
      <x:sz val="9"/>
      <x:color rgb="FF221B27"/>
      <x:name val="Arial"/>
    </x:font>
    <x:font>
      <x:i/>
      <x:sz val="9"/>
      <x:color rgb="FF221B27"/>
      <x:name val="Arial"/>
    </x:font>
    <x:font>
      <x:b/>
      <x:sz val="9"/>
      <x:color rgb="FFFFF7EC"/>
      <x:name val="Arial"/>
    </x:font>
    <x:font>
      <x:sz val="9"/>
      <x:color rgb="FFFFF7EC"/>
      <x:name val="Arial"/>
    </x:font>
    <x:font>
      <x:sz val="11"/>
      <x:color rgb="FFFFF7EC"/>
      <x:name val="Arial"/>
    </x:font>
    <x:font>
      <x:i/>
      <x:sz val="9"/>
      <x:color rgb="FFFFF7EC"/>
      <x:name val="Arial"/>
    </x:font>
    <x:font>
      <x:b/>
      <x:sz val="18"/>
      <x:color rgb="FFFFFFFF"/>
      <x:name val="Carlito"/>
    </x:font>
    <x:font>
      <x:i/>
      <x:sz val="10"/>
      <x:color rgb="FF374151"/>
      <x:name val="Carlito"/>
    </x:font>
    <x:font>
      <x:sz val="9"/>
      <x:color rgb="FF111827"/>
      <x:name val="Carlito"/>
    </x:font>
    <x:font>
      <x:b/>
      <x:sz val="11"/>
      <x:color rgb="FF374151"/>
      <x:name val="Carlito"/>
    </x:font>
    <x:font>
      <x:b/>
      <x:sz val="11"/>
      <x:color rgb="FF92400E"/>
      <x:name val="Carlito"/>
    </x:font>
    <x:font>
      <x:b/>
      <x:sz val="11"/>
      <x:color rgb="FF166534"/>
      <x:name val="Carlito"/>
    </x:font>
  </x:fonts>
  <x:fills count="36">
    <x:fill>
      <x:patternFill patternType="none"/>
    </x:fill>
    <x:fill>
      <x:patternFill patternType="gray125"/>
    </x:fill>
    <x:fill>
      <x:patternFill patternType="solid">
        <x:fgColor rgb="FF09080B"/>
      </x:patternFill>
    </x:fill>
    <x:fill>
      <x:patternFill patternType="solid">
        <x:fgColor rgb="FF17131E"/>
      </x:patternFill>
    </x:fill>
    <x:fill>
      <x:patternFill patternType="solid">
        <x:fgColor rgb="FF7447B8"/>
      </x:patternFill>
    </x:fill>
    <x:fill>
      <x:patternFill patternType="solid">
        <x:fgColor rgb="FFDDF4E7"/>
      </x:patternFill>
    </x:fill>
    <x:fill>
      <x:patternFill patternType="solid">
        <x:fgColor rgb="FF111827"/>
      </x:patternFill>
    </x:fill>
    <x:fill>
      <x:patternFill patternType="solid">
        <x:fgColor rgb="FFE5E7EB"/>
      </x:patternFill>
    </x:fill>
    <x:fill>
      <x:patternFill patternType="solid">
        <x:fgColor rgb="FFEFF6FF"/>
      </x:patternFill>
    </x:fill>
    <x:fill>
      <x:patternFill patternType="solid">
        <x:fgColor rgb="FFFFF7ED"/>
      </x:patternFill>
    </x:fill>
    <x:fill>
      <x:patternFill patternType="solid">
        <x:fgColor rgb="FFFEF3C7"/>
      </x:patternFill>
    </x:fill>
    <x:fill>
      <x:patternFill patternType="solid">
        <x:fgColor rgb="FF111827"/>
      </x:patternFill>
    </x:fill>
    <x:fill>
      <x:patternFill patternType="solid">
        <x:fgColor rgb="FFE5E7EB"/>
      </x:patternFill>
    </x:fill>
    <x:fill>
      <x:patternFill patternType="solid">
        <x:fgColor rgb="FFEFF6FF"/>
      </x:patternFill>
    </x:fill>
    <x:fill>
      <x:patternFill patternType="solid">
        <x:fgColor rgb="FFFFF7ED"/>
      </x:patternFill>
    </x:fill>
    <x:fill>
      <x:patternFill patternType="solid">
        <x:fgColor rgb="FFFEF3C7"/>
      </x:patternFill>
    </x:fill>
    <x:fill>
      <x:patternFill patternType="solid">
        <x:fgColor rgb="FF111827"/>
      </x:patternFill>
    </x:fill>
    <x:fill>
      <x:patternFill patternType="solid">
        <x:fgColor rgb="FFE5E7EB"/>
      </x:patternFill>
    </x:fill>
    <x:fill>
      <x:patternFill patternType="solid">
        <x:fgColor rgb="FFEFF6FF"/>
      </x:patternFill>
    </x:fill>
    <x:fill>
      <x:patternFill patternType="solid">
        <x:fgColor rgb="FFFFF7ED"/>
      </x:patternFill>
    </x:fill>
    <x:fill>
      <x:patternFill patternType="solid">
        <x:fgColor rgb="FFFEF3C7"/>
      </x:patternFill>
    </x:fill>
    <x:fill>
      <x:patternFill patternType="solid">
        <x:fgColor rgb="FF111827"/>
      </x:patternFill>
    </x:fill>
    <x:fill>
      <x:patternFill patternType="solid">
        <x:fgColor rgb="FFE5E7EB"/>
      </x:patternFill>
    </x:fill>
    <x:fill>
      <x:patternFill patternType="solid">
        <x:fgColor rgb="FFEFF6FF"/>
      </x:patternFill>
    </x:fill>
    <x:fill>
      <x:patternFill patternType="solid">
        <x:fgColor rgb="FFFFF7ED"/>
      </x:patternFill>
    </x:fill>
    <x:fill>
      <x:patternFill patternType="solid">
        <x:fgColor rgb="FFDCFCE7"/>
      </x:patternFill>
    </x:fill>
    <x:fill>
      <x:patternFill patternType="solid">
        <x:fgColor rgb="FF111827"/>
      </x:patternFill>
    </x:fill>
    <x:fill>
      <x:patternFill patternType="solid">
        <x:fgColor rgb="FFE5E7EB"/>
      </x:patternFill>
    </x:fill>
    <x:fill>
      <x:patternFill patternType="solid">
        <x:fgColor rgb="FFEFF6FF"/>
      </x:patternFill>
    </x:fill>
    <x:fill>
      <x:patternFill patternType="solid">
        <x:fgColor rgb="FFFFF7ED"/>
      </x:patternFill>
    </x:fill>
    <x:fill>
      <x:patternFill patternType="solid">
        <x:fgColor rgb="FFDCFCE7"/>
      </x:patternFill>
    </x:fill>
    <x:fill>
      <x:patternFill patternType="solid">
        <x:fgColor rgb="FF111827"/>
      </x:patternFill>
    </x:fill>
    <x:fill>
      <x:patternFill patternType="solid">
        <x:fgColor rgb="FFE5E7EB"/>
      </x:patternFill>
    </x:fill>
    <x:fill>
      <x:patternFill patternType="solid">
        <x:fgColor rgb="FFEFF6FF"/>
      </x:patternFill>
    </x:fill>
    <x:fill>
      <x:patternFill patternType="solid">
        <x:fgColor rgb="FFFFF7ED"/>
      </x:patternFill>
    </x:fill>
    <x:fill>
      <x:patternFill patternType="solid">
        <x:fgColor rgb="FFDCFCE7"/>
      </x:patternFill>
    </x:fill>
  </x:fills>
  <x:borders count="9">
    <x:border/>
    <x:border>
      <x:left style="thin">
        <x:color rgb="FFD8C8E8"/>
      </x:left>
      <x:top style="thin">
        <x:color rgb="FFD8C8E8"/>
      </x:top>
      <x:bottom style="thin">
        <x:color rgb="FFD8C8E8"/>
      </x:bottom>
    </x:border>
    <x:border>
      <x:right style="thin">
        <x:color rgb="FFD8C8E8"/>
      </x:right>
      <x:top style="thin">
        <x:color rgb="FFD8C8E8"/>
      </x:top>
      <x:bottom style="thin">
        <x:color rgb="FFD8C8E8"/>
      </x:bottom>
    </x:border>
    <x:border>
      <x:top style="thin">
        <x:color rgb="FFD8C8E8"/>
      </x:top>
      <x:bottom style="thin">
        <x:color rgb="FFD8C8E8"/>
      </x:bottom>
    </x:border>
    <x:border>
      <x:bottom style="thin">
        <x:color rgb="FFE5DDE8"/>
      </x:bottom>
    </x:border>
    <x:border>
      <x:left style="thin">
        <x:color rgb="FFD8C8E8"/>
      </x:left>
      <x:bottom style="thin">
        <x:color rgb="FFE5DDE8"/>
      </x:bottom>
    </x:border>
    <x:border>
      <x:right style="thin">
        <x:color rgb="FFD8C8E8"/>
      </x:right>
      <x:bottom style="thin">
        <x:color rgb="FFE5DDE8"/>
      </x:bottom>
    </x:border>
    <x:border>
      <x:top style="thin">
        <x:color rgb="FFE5DDE8"/>
      </x:top>
      <x:bottom style="thin">
        <x:color rgb="FFE5DDE8"/>
      </x:bottom>
    </x:border>
    <x:border>
      <x:top style="thin">
        <x:color rgb="FFE5DDE8"/>
      </x:top>
    </x:border>
  </x:borders>
  <x:cellStyleXfs count="1">
    <x:xf numFmtId="0" fontId="0" fillId="0" borderId="0"/>
  </x:cellStyleXfs>
  <x:cellXfs count="1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3"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4" fillId="4" borderId="1" xfId="0" applyNumberFormat="1" applyFont="1" applyFill="1" applyBorder="1" applyAlignment="1">
      <x:alignment wrapText="1"/>
    </x:xf>
    <x:xf numFmtId="0" fontId="4" fillId="4" borderId="2" xfId="0" applyNumberFormat="1" applyFont="1" applyFill="1" applyBorder="1" applyAlignment="1">
      <x:alignment wrapText="1"/>
    </x:xf>
    <x:xf numFmtId="0" fontId="4" fillId="4" borderId="1" xfId="0" applyNumberFormat="1" applyFont="1" applyFill="1" applyBorder="1" applyAlignment="1">
      <x:alignment vertical="center" wrapText="1"/>
    </x:xf>
    <x:xf numFmtId="0" fontId="4" fillId="4" borderId="2"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4" fillId="4" borderId="3" xfId="0" applyNumberFormat="1" applyFont="1" applyFill="1" applyBorder="1"/>
    <x:xf numFmtId="0" fontId="4" fillId="4" borderId="3" xfId="0" applyNumberFormat="1" applyFont="1" applyFill="1" applyBorder="1" applyAlignment="1">
      <x:alignment wrapText="1"/>
    </x:xf>
    <x:xf numFmtId="0" fontId="4" fillId="4" borderId="3"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7" fillId="0" borderId="0" xfId="0" applyNumberFormat="1" applyFont="1" applyFill="1" applyBorder="1"/>
    <x:xf numFmtId="0" fontId="8" fillId="3" borderId="0" xfId="0" applyNumberFormat="1" applyFont="1" applyFill="1" applyBorder="1" applyAlignment="1">
      <x:alignment wrapText="1"/>
    </x:xf>
    <x:xf numFmtId="0" fontId="6" fillId="3" borderId="0" xfId="0" applyNumberFormat="1" applyFont="1" applyFill="1" applyBorder="1"/>
    <x:xf numFmtId="0" fontId="7" fillId="0" borderId="0" xfId="0" applyNumberFormat="1" applyFont="1" applyFill="1" applyBorder="1" applyAlignment="1">
      <x:alignment wrapText="1"/>
    </x:xf>
    <x:xf numFmtId="0" fontId="6" fillId="4" borderId="1" xfId="0" applyNumberFormat="1" applyFont="1" applyFill="1" applyBorder="1" applyAlignment="1">
      <x:alignment vertical="center" wrapText="1"/>
    </x:xf>
    <x:xf numFmtId="0" fontId="6" fillId="4" borderId="2" xfId="0" applyNumberFormat="1" applyFont="1" applyFill="1" applyBorder="1" applyAlignment="1">
      <x:alignment vertical="center" wrapText="1"/>
    </x:xf>
    <x:xf numFmtId="200" fontId="7" fillId="0" borderId="0" xfId="0" applyNumberFormat="1" applyFont="1" applyFill="1" applyBorder="1" applyAlignment="1">
      <x:alignment wrapText="1"/>
    </x:xf>
    <x:xf numFmtId="0" fontId="6" fillId="5" borderId="0" xfId="0" applyNumberFormat="1" applyFont="1" applyFill="1" applyBorder="1" applyAlignment="1">
      <x:alignment wrapText="1"/>
    </x:xf>
    <x:xf numFmtId="0" fontId="6" fillId="4" borderId="3" xfId="0" applyNumberFormat="1" applyFont="1" applyFill="1" applyBorder="1" applyAlignment="1">
      <x:alignment vertical="center" wrapText="1"/>
    </x:xf>
    <x:xf numFmtId="0" fontId="9" fillId="2" borderId="0" xfId="0" applyNumberFormat="1" applyFont="1" applyFill="1" applyBorder="1" applyAlignment="1">
      <x:alignment vertical="center"/>
    </x:xf>
    <x:xf numFmtId="0" fontId="10" fillId="0" borderId="0" xfId="0" applyNumberFormat="1" applyFont="1" applyFill="1" applyBorder="1"/>
    <x:xf numFmtId="0" fontId="11" fillId="3" borderId="0" xfId="0" applyNumberFormat="1" applyFont="1" applyFill="1" applyBorder="1" applyAlignment="1">
      <x:alignment wrapText="1"/>
    </x:xf>
    <x:xf numFmtId="0" fontId="6" fillId="3" borderId="4" xfId="0" applyNumberFormat="1" applyFont="1" applyFill="1" applyBorder="1"/>
    <x:xf numFmtId="0" fontId="7" fillId="0" borderId="4" xfId="0" applyNumberFormat="1" applyFont="1" applyFill="1" applyBorder="1" applyAlignment="1">
      <x:alignment wrapText="1"/>
    </x:xf>
    <x:xf numFmtId="0" fontId="7" fillId="0" borderId="4" xfId="0" applyNumberFormat="1" applyFont="1" applyFill="1" applyBorder="1"/>
    <x:xf numFmtId="0" fontId="6" fillId="4" borderId="5" xfId="0" applyNumberFormat="1" applyFont="1" applyFill="1" applyBorder="1" applyAlignment="1">
      <x:alignment vertical="center" wrapText="1"/>
    </x:xf>
    <x:xf numFmtId="0" fontId="6" fillId="4" borderId="6" xfId="0" applyNumberFormat="1" applyFont="1" applyFill="1" applyBorder="1" applyAlignment="1">
      <x:alignment vertical="center" wrapText="1"/>
    </x:xf>
    <x:xf numFmtId="0" fontId="6" fillId="4" borderId="4" xfId="0" applyNumberFormat="1" applyFont="1" applyFill="1" applyBorder="1" applyAlignment="1">
      <x:alignment vertical="center" wrapText="1"/>
    </x:xf>
    <x:xf numFmtId="0" fontId="6" fillId="3" borderId="7" xfId="0" applyNumberFormat="1" applyFont="1" applyFill="1" applyBorder="1"/>
    <x:xf numFmtId="0" fontId="7" fillId="0" borderId="7" xfId="0" applyNumberFormat="1" applyFont="1" applyFill="1" applyBorder="1" applyAlignment="1">
      <x:alignment wrapText="1"/>
    </x:xf>
    <x:xf numFmtId="0" fontId="7" fillId="0" borderId="7" xfId="0" applyNumberFormat="1" applyFont="1" applyFill="1" applyBorder="1"/>
    <x:xf numFmtId="200" fontId="7" fillId="0" borderId="7" xfId="0" applyNumberFormat="1" applyFont="1" applyFill="1" applyBorder="1" applyAlignment="1">
      <x:alignment wrapText="1"/>
    </x:xf>
    <x:xf numFmtId="0" fontId="6" fillId="5" borderId="7" xfId="0" applyNumberFormat="1" applyFont="1" applyFill="1" applyBorder="1" applyAlignment="1">
      <x:alignment wrapText="1"/>
    </x:xf>
    <x:xf numFmtId="0" fontId="6" fillId="4" borderId="7" xfId="0" applyNumberFormat="1" applyFont="1" applyFill="1" applyBorder="1" applyAlignment="1">
      <x:alignment vertical="center" wrapText="1"/>
    </x:xf>
    <x:xf numFmtId="0" fontId="7" fillId="0" borderId="8" xfId="0" applyNumberFormat="1" applyFont="1" applyFill="1" applyBorder="1"/>
    <x:xf numFmtId="0" fontId="9" fillId="3" borderId="4" xfId="0" applyNumberFormat="1" applyFont="1" applyFill="1" applyBorder="1"/>
    <x:xf numFmtId="0" fontId="9" fillId="3" borderId="7"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12" fillId="2" borderId="0" xfId="0" applyNumberFormat="1" applyFont="1" applyFill="1" applyBorder="1" applyAlignment="1">
      <x:alignment vertical="center"/>
    </x:xf>
    <x:xf numFmtId="0" fontId="13" fillId="0" borderId="0" xfId="0" applyNumberFormat="1" applyFont="1" applyFill="1" applyBorder="1"/>
    <x:xf numFmtId="0" fontId="14" fillId="3" borderId="0" xfId="0" applyNumberFormat="1" applyFont="1" applyFill="1" applyBorder="1" applyAlignment="1">
      <x:alignment wrapText="1"/>
    </x:xf>
    <x:xf numFmtId="0" fontId="12" fillId="4" borderId="1" xfId="0" applyNumberFormat="1" applyFont="1" applyFill="1" applyBorder="1" applyAlignment="1">
      <x:alignment vertical="center" wrapText="1"/>
    </x:xf>
    <x:xf numFmtId="0" fontId="12" fillId="4" borderId="3" xfId="0" applyNumberFormat="1" applyFont="1" applyFill="1" applyBorder="1" applyAlignment="1">
      <x:alignment vertical="center" wrapText="1"/>
    </x:xf>
    <x:xf numFmtId="0" fontId="12" fillId="4" borderId="2" xfId="0" applyNumberFormat="1" applyFont="1" applyFill="1" applyBorder="1" applyAlignment="1">
      <x:alignment vertical="center" wrapText="1"/>
    </x:xf>
    <x:xf numFmtId="0" fontId="13" fillId="0" borderId="0" xfId="0" applyNumberFormat="1" applyFont="1" applyFill="1" applyBorder="1" applyAlignment="1">
      <x:alignment vertical="top" wrapText="1"/>
    </x:xf>
    <x:xf numFmtId="200" fontId="13" fillId="0" borderId="0" xfId="0" applyNumberFormat="1" applyFont="1" applyFill="1" applyBorder="1" applyAlignment="1">
      <x:alignment vertical="top" wrapText="1"/>
    </x:xf>
    <x:xf numFmtId="0" fontId="15" fillId="2" borderId="0" xfId="0" applyNumberFormat="1" applyFont="1" applyFill="1" applyBorder="1" applyAlignment="1">
      <x:alignment vertical="center"/>
    </x:xf>
    <x:xf numFmtId="0" fontId="16" fillId="0" borderId="0" xfId="0" applyNumberFormat="1" applyFont="1" applyFill="1" applyBorder="1"/>
    <x:xf numFmtId="0" fontId="17" fillId="0" borderId="0" xfId="0" applyNumberFormat="1" applyFont="1" applyFill="1" applyBorder="1"/>
    <x:xf numFmtId="0" fontId="18" fillId="3" borderId="0" xfId="0" applyNumberFormat="1" applyFont="1" applyFill="1" applyBorder="1" applyAlignment="1">
      <x:alignment wrapText="1"/>
    </x:xf>
    <x:xf numFmtId="0" fontId="13" fillId="0" borderId="0" xfId="0" applyNumberFormat="1" applyFont="1" applyFill="1" applyBorder="1" applyAlignment="1">
      <x:alignment wrapText="1"/>
    </x:xf>
    <x:xf numFmtId="200" fontId="13" fillId="0" borderId="0" xfId="0" applyNumberFormat="1" applyFont="1" applyFill="1" applyBorder="1" applyAlignment="1">
      <x:alignment wrapText="1"/>
    </x:xf>
    <x:xf numFmtId="201" fontId="13" fillId="0" borderId="0" xfId="0" applyNumberFormat="1" applyFont="1" applyFill="1" applyBorder="1" applyAlignment="1">
      <x:alignment wrapText="1"/>
    </x:xf>
    <x:xf numFmtId="0" fontId="0" fillId="6" borderId="0" xfId="0" applyNumberFormat="1" applyFont="1" applyFill="1" applyBorder="1"/>
    <x:xf numFmtId="0" fontId="19" fillId="6" borderId="0" xfId="0" applyNumberFormat="1" applyFont="1" applyFill="1" applyBorder="1"/>
    <x:xf numFmtId="0" fontId="19" fillId="6" borderId="0" xfId="0" applyNumberFormat="1" applyFont="1" applyFill="1" applyBorder="1" applyAlignment="1">
      <x:alignment vertical="center"/>
    </x:xf>
    <x:xf numFmtId="0" fontId="0" fillId="7" borderId="0" xfId="0" applyNumberFormat="1" applyFont="1" applyFill="1" applyBorder="1"/>
    <x:xf numFmtId="0" fontId="20" fillId="7" borderId="0" xfId="0" applyNumberFormat="1" applyFont="1" applyFill="1" applyBorder="1"/>
    <x:xf numFmtId="0" fontId="20" fillId="7" borderId="0" xfId="0" applyNumberFormat="1" applyFont="1" applyFill="1" applyBorder="1" applyAlignment="1">
      <x:alignment wrapText="1"/>
    </x:xf>
    <x:xf numFmtId="0" fontId="20" fillId="7"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21" fillId="0" borderId="0" xfId="0" applyNumberFormat="1" applyFont="1" applyFill="1" applyBorder="1" applyAlignment="1">
      <x:alignment vertical="top" wrapText="1"/>
    </x:xf>
    <x:xf numFmtId="202" fontId="0" fillId="0" borderId="0" xfId="0" applyNumberFormat="1" applyFont="1" applyFill="1" applyBorder="1"/>
    <x:xf numFmtId="202"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0" fontId="22" fillId="0" borderId="0"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0" fontId="0" fillId="10" borderId="0" xfId="0" applyNumberFormat="1" applyFont="1" applyFill="1" applyBorder="1"/>
    <x:xf numFmtId="0" fontId="23" fillId="10" borderId="0" xfId="0" applyNumberFormat="1" applyFont="1" applyFill="1" applyBorder="1"/>
    <x:xf numFmtId="0" fontId="23" fillId="10" borderId="0" xfId="0" applyNumberFormat="1" applyFont="1" applyFill="1" applyBorder="1" applyAlignment="1">
      <x:alignment wrapText="1"/>
    </x:xf>
    <x:xf numFmtId="0" fontId="23" fillId="10" borderId="0" xfId="0" applyNumberFormat="1" applyFont="1" applyFill="1" applyBorder="1" applyAlignment="1">
      <x:alignment vertical="center" wrapText="1"/>
    </x:xf>
    <x:xf numFmtId="0" fontId="0" fillId="11" borderId="0" xfId="0" applyNumberFormat="1" applyFont="1" applyFill="1" applyBorder="1"/>
    <x:xf numFmtId="0" fontId="19" fillId="11" borderId="0" xfId="0" applyNumberFormat="1" applyFont="1" applyFill="1" applyBorder="1"/>
    <x:xf numFmtId="0" fontId="19" fillId="11" borderId="0" xfId="0" applyNumberFormat="1" applyFont="1" applyFill="1" applyBorder="1" applyAlignment="1">
      <x:alignment vertical="center"/>
    </x:xf>
    <x:xf numFmtId="0" fontId="0" fillId="12" borderId="0" xfId="0" applyNumberFormat="1" applyFont="1" applyFill="1" applyBorder="1"/>
    <x:xf numFmtId="0" fontId="20" fillId="12" borderId="0" xfId="0" applyNumberFormat="1" applyFont="1" applyFill="1" applyBorder="1"/>
    <x:xf numFmtId="0" fontId="20" fillId="12" borderId="0" xfId="0" applyNumberFormat="1" applyFont="1" applyFill="1" applyBorder="1" applyAlignment="1">
      <x:alignment wrapText="1"/>
    </x:xf>
    <x:xf numFmtId="0" fontId="20" fillId="12" borderId="0" xfId="0" applyNumberFormat="1" applyFont="1" applyFill="1" applyBorder="1" applyAlignment="1">
      <x:alignment vertical="center" wrapText="1"/>
    </x:xf>
    <x:xf numFmtId="0" fontId="0" fillId="13" borderId="0" xfId="0" applyNumberFormat="1" applyFont="1" applyFill="1" applyBorder="1" applyAlignment="1">
      <x:alignment vertical="center" wrapText="1"/>
    </x:xf>
    <x:xf numFmtId="0" fontId="0" fillId="14" borderId="0" xfId="0" applyNumberFormat="1" applyFont="1" applyFill="1" applyBorder="1" applyAlignment="1">
      <x:alignment vertical="center" wrapText="1"/>
    </x:xf>
    <x:xf numFmtId="0" fontId="0" fillId="15" borderId="0" xfId="0" applyNumberFormat="1" applyFont="1" applyFill="1" applyBorder="1"/>
    <x:xf numFmtId="0" fontId="23" fillId="15" borderId="0" xfId="0" applyNumberFormat="1" applyFont="1" applyFill="1" applyBorder="1"/>
    <x:xf numFmtId="0" fontId="23" fillId="15" borderId="0" xfId="0" applyNumberFormat="1" applyFont="1" applyFill="1" applyBorder="1" applyAlignment="1">
      <x:alignment wrapText="1"/>
    </x:xf>
    <x:xf numFmtId="0" fontId="23" fillId="15" borderId="0" xfId="0" applyNumberFormat="1" applyFont="1" applyFill="1" applyBorder="1" applyAlignment="1">
      <x:alignment vertical="center" wrapText="1"/>
    </x:xf>
    <x:xf numFmtId="0" fontId="0" fillId="16" borderId="0" xfId="0" applyNumberFormat="1" applyFont="1" applyFill="1" applyBorder="1"/>
    <x:xf numFmtId="0" fontId="19" fillId="16" borderId="0" xfId="0" applyNumberFormat="1" applyFont="1" applyFill="1" applyBorder="1"/>
    <x:xf numFmtId="0" fontId="19" fillId="16" borderId="0" xfId="0" applyNumberFormat="1" applyFont="1" applyFill="1" applyBorder="1" applyAlignment="1">
      <x:alignment vertical="center"/>
    </x:xf>
    <x:xf numFmtId="0" fontId="0" fillId="17" borderId="0" xfId="0" applyNumberFormat="1" applyFont="1" applyFill="1" applyBorder="1"/>
    <x:xf numFmtId="0" fontId="20" fillId="17" borderId="0" xfId="0" applyNumberFormat="1" applyFont="1" applyFill="1" applyBorder="1"/>
    <x:xf numFmtId="0" fontId="20" fillId="17" borderId="0" xfId="0" applyNumberFormat="1" applyFont="1" applyFill="1" applyBorder="1" applyAlignment="1">
      <x:alignment wrapText="1"/>
    </x:xf>
    <x:xf numFmtId="0" fontId="20" fillId="17" borderId="0" xfId="0" applyNumberFormat="1" applyFont="1" applyFill="1" applyBorder="1" applyAlignment="1">
      <x:alignment vertical="center" wrapText="1"/>
    </x:xf>
    <x:xf numFmtId="0" fontId="0" fillId="18" borderId="0" xfId="0" applyNumberFormat="1" applyFont="1" applyFill="1" applyBorder="1" applyAlignment="1">
      <x:alignment vertical="center" wrapText="1"/>
    </x:xf>
    <x:xf numFmtId="0" fontId="0" fillId="19" borderId="0" xfId="0" applyNumberFormat="1" applyFont="1" applyFill="1" applyBorder="1" applyAlignment="1">
      <x:alignment vertical="center" wrapText="1"/>
    </x:xf>
    <x:xf numFmtId="0" fontId="0" fillId="20" borderId="0" xfId="0" applyNumberFormat="1" applyFont="1" applyFill="1" applyBorder="1"/>
    <x:xf numFmtId="0" fontId="23" fillId="20" borderId="0" xfId="0" applyNumberFormat="1" applyFont="1" applyFill="1" applyBorder="1"/>
    <x:xf numFmtId="0" fontId="23" fillId="20" borderId="0" xfId="0" applyNumberFormat="1" applyFont="1" applyFill="1" applyBorder="1" applyAlignment="1">
      <x:alignment wrapText="1"/>
    </x:xf>
    <x:xf numFmtId="0" fontId="23" fillId="20" borderId="0" xfId="0" applyNumberFormat="1" applyFont="1" applyFill="1" applyBorder="1" applyAlignment="1">
      <x:alignment vertical="center" wrapText="1"/>
    </x:xf>
    <x:xf numFmtId="0" fontId="0" fillId="21" borderId="0" xfId="0" applyNumberFormat="1" applyFont="1" applyFill="1" applyBorder="1"/>
    <x:xf numFmtId="0" fontId="19" fillId="21" borderId="0" xfId="0" applyNumberFormat="1" applyFont="1" applyFill="1" applyBorder="1"/>
    <x:xf numFmtId="0" fontId="19" fillId="21" borderId="0" xfId="0" applyNumberFormat="1" applyFont="1" applyFill="1" applyBorder="1" applyAlignment="1">
      <x:alignment vertical="center"/>
    </x:xf>
    <x:xf numFmtId="0" fontId="0" fillId="22" borderId="0" xfId="0" applyNumberFormat="1" applyFont="1" applyFill="1" applyBorder="1"/>
    <x:xf numFmtId="0" fontId="20" fillId="22" borderId="0" xfId="0" applyNumberFormat="1" applyFont="1" applyFill="1" applyBorder="1"/>
    <x:xf numFmtId="0" fontId="20" fillId="22" borderId="0" xfId="0" applyNumberFormat="1" applyFont="1" applyFill="1" applyBorder="1" applyAlignment="1">
      <x:alignment wrapText="1"/>
    </x:xf>
    <x:xf numFmtId="0" fontId="20" fillId="22" borderId="0" xfId="0" applyNumberFormat="1" applyFont="1" applyFill="1" applyBorder="1" applyAlignment="1">
      <x:alignment vertical="center" wrapText="1"/>
    </x:xf>
    <x:xf numFmtId="201" fontId="13" fillId="0" borderId="0" xfId="0" applyNumberFormat="1" applyFont="1" applyFill="1" applyBorder="1" applyAlignment="1">
      <x:alignment vertical="top" wrapText="1"/>
    </x:xf>
    <x:xf numFmtId="0" fontId="0" fillId="23" borderId="0" xfId="0" applyNumberFormat="1" applyFont="1" applyFill="1" applyBorder="1" applyAlignment="1">
      <x:alignment vertical="center" wrapText="1"/>
    </x:xf>
    <x:xf numFmtId="0" fontId="0" fillId="24" borderId="0" xfId="0" applyNumberFormat="1" applyFont="1" applyFill="1" applyBorder="1" applyAlignment="1">
      <x:alignment vertical="center" wrapText="1"/>
    </x:xf>
    <x:xf numFmtId="0" fontId="0" fillId="25" borderId="0" xfId="0" applyNumberFormat="1" applyFont="1" applyFill="1" applyBorder="1"/>
    <x:xf numFmtId="0" fontId="24" fillId="25" borderId="0" xfId="0" applyNumberFormat="1" applyFont="1" applyFill="1" applyBorder="1"/>
    <x:xf numFmtId="0" fontId="24" fillId="25" borderId="0" xfId="0" applyNumberFormat="1" applyFont="1" applyFill="1" applyBorder="1" applyAlignment="1">
      <x:alignment wrapText="1"/>
    </x:xf>
    <x:xf numFmtId="0" fontId="24" fillId="25" borderId="0" xfId="0" applyNumberFormat="1" applyFont="1" applyFill="1" applyBorder="1" applyAlignment="1">
      <x:alignment vertical="center" wrapText="1"/>
    </x:xf>
    <x:xf numFmtId="0" fontId="0" fillId="26" borderId="0" xfId="0" applyNumberFormat="1" applyFont="1" applyFill="1" applyBorder="1"/>
    <x:xf numFmtId="0" fontId="19" fillId="26" borderId="0" xfId="0" applyNumberFormat="1" applyFont="1" applyFill="1" applyBorder="1"/>
    <x:xf numFmtId="0" fontId="19" fillId="26" borderId="0" xfId="0" applyNumberFormat="1" applyFont="1" applyFill="1" applyBorder="1" applyAlignment="1">
      <x:alignment vertical="center"/>
    </x:xf>
    <x:xf numFmtId="0" fontId="0" fillId="27" borderId="0" xfId="0" applyNumberFormat="1" applyFont="1" applyFill="1" applyBorder="1"/>
    <x:xf numFmtId="0" fontId="20" fillId="27" borderId="0" xfId="0" applyNumberFormat="1" applyFont="1" applyFill="1" applyBorder="1"/>
    <x:xf numFmtId="0" fontId="20" fillId="27" borderId="0" xfId="0" applyNumberFormat="1" applyFont="1" applyFill="1" applyBorder="1" applyAlignment="1">
      <x:alignment wrapText="1"/>
    </x:xf>
    <x:xf numFmtId="0" fontId="20" fillId="27" borderId="0" xfId="0" applyNumberFormat="1" applyFont="1" applyFill="1" applyBorder="1" applyAlignment="1">
      <x:alignment vertical="center" wrapText="1"/>
    </x:xf>
    <x:xf numFmtId="202" fontId="21"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0" fillId="28" borderId="0" xfId="0" applyNumberFormat="1" applyFont="1" applyFill="1" applyBorder="1" applyAlignment="1">
      <x:alignment vertical="center" wrapText="1"/>
    </x:xf>
    <x:xf numFmtId="0" fontId="0" fillId="29" borderId="0" xfId="0" applyNumberFormat="1" applyFont="1" applyFill="1" applyBorder="1" applyAlignment="1">
      <x:alignment vertical="center" wrapText="1"/>
    </x:xf>
    <x:xf numFmtId="0" fontId="0" fillId="30" borderId="0" xfId="0" applyNumberFormat="1" applyFont="1" applyFill="1" applyBorder="1"/>
    <x:xf numFmtId="0" fontId="24" fillId="30" borderId="0" xfId="0" applyNumberFormat="1" applyFont="1" applyFill="1" applyBorder="1"/>
    <x:xf numFmtId="0" fontId="24" fillId="30" borderId="0" xfId="0" applyNumberFormat="1" applyFont="1" applyFill="1" applyBorder="1" applyAlignment="1">
      <x:alignment wrapText="1"/>
    </x:xf>
    <x:xf numFmtId="0" fontId="24" fillId="30" borderId="0" xfId="0" applyNumberFormat="1" applyFont="1" applyFill="1" applyBorder="1" applyAlignment="1">
      <x:alignment vertical="center" wrapText="1"/>
    </x:xf>
    <x:xf numFmtId="0" fontId="0" fillId="31" borderId="0" xfId="0" applyNumberFormat="1" applyFont="1" applyFill="1" applyBorder="1"/>
    <x:xf numFmtId="0" fontId="19" fillId="31" borderId="0" xfId="0" applyNumberFormat="1" applyFont="1" applyFill="1" applyBorder="1"/>
    <x:xf numFmtId="0" fontId="19" fillId="31" borderId="0" xfId="0" applyNumberFormat="1" applyFont="1" applyFill="1" applyBorder="1" applyAlignment="1">
      <x:alignment vertical="center"/>
    </x:xf>
    <x:xf numFmtId="0" fontId="0" fillId="32" borderId="0" xfId="0" applyNumberFormat="1" applyFont="1" applyFill="1" applyBorder="1"/>
    <x:xf numFmtId="0" fontId="20" fillId="32" borderId="0" xfId="0" applyNumberFormat="1" applyFont="1" applyFill="1" applyBorder="1"/>
    <x:xf numFmtId="0" fontId="20" fillId="32" borderId="0" xfId="0" applyNumberFormat="1" applyFont="1" applyFill="1" applyBorder="1" applyAlignment="1">
      <x:alignment wrapText="1"/>
    </x:xf>
    <x:xf numFmtId="0" fontId="20" fillId="32" borderId="0" xfId="0" applyNumberFormat="1" applyFont="1" applyFill="1" applyBorder="1" applyAlignment="1">
      <x:alignment vertical="center" wrapText="1"/>
    </x:xf>
    <x:xf numFmtId="0" fontId="0" fillId="33" borderId="0" xfId="0" applyNumberFormat="1" applyFont="1" applyFill="1" applyBorder="1" applyAlignment="1">
      <x:alignment vertical="center" wrapText="1"/>
    </x:xf>
    <x:xf numFmtId="0" fontId="0" fillId="34" borderId="0" xfId="0" applyNumberFormat="1" applyFont="1" applyFill="1" applyBorder="1" applyAlignment="1">
      <x:alignment vertical="center" wrapText="1"/>
    </x:xf>
    <x:xf numFmtId="0" fontId="0" fillId="35" borderId="0" xfId="0" applyNumberFormat="1" applyFont="1" applyFill="1" applyBorder="1"/>
    <x:xf numFmtId="0" fontId="24" fillId="35" borderId="0" xfId="0" applyNumberFormat="1" applyFont="1" applyFill="1" applyBorder="1"/>
    <x:xf numFmtId="0" fontId="24" fillId="35" borderId="0" xfId="0" applyNumberFormat="1" applyFont="1" applyFill="1" applyBorder="1" applyAlignment="1">
      <x:alignment wrapText="1"/>
    </x:xf>
    <x:xf numFmtId="0" fontId="24" fillId="35" borderId="0" xfId="0" applyNumberFormat="1" applyFont="1" applyFill="1" applyBorder="1" applyAlignment="1">
      <x:alignment vertical="center" wrapText="1"/>
    </x:xf>
  </x:cellXfs>
  <x:cellStyles count="1">
    <x:cellStyle name="Normal" xfId="0"/>
  </x:cellStyles>
  <x:dxfs count="57">
    <x:dxf>
      <x:font>
        <x:b/>
        <x:color rgb="FF16683F"/>
      </x:font>
      <x:fill>
        <x:patternFill>
          <x:bgColor rgb="FFDDF4E7"/>
        </x:patternFill>
      </x:fill>
    </x:dxf>
    <x:dxf>
      <x:font>
        <x:b/>
        <x:color rgb="FF8D2130"/>
      </x:font>
      <x:fill>
        <x:patternFill>
          <x:bgColor rgb="FFF9DDE1"/>
        </x:patternFill>
      </x:fill>
    </x:dxf>
    <x:dxf>
      <x:font>
        <x:b/>
        <x:color rgb="FF7A5700"/>
      </x:font>
      <x:fill>
        <x:patternFill>
          <x:bgColor rgb="FFFFF0C2"/>
        </x:patternFill>
      </x:fill>
    </x:dxf>
    <x:dxf>
      <x:font>
        <x:color rgb="FF5C5262"/>
      </x:font>
      <x:fill>
        <x:patternFill>
          <x:bgColor rgb="FFECE8EF"/>
        </x:patternFill>
      </x:fill>
    </x:dxf>
    <x:dxf>
      <x:font>
        <x:b/>
        <x:color rgb="FF16683F"/>
      </x:font>
      <x:fill>
        <x:patternFill>
          <x:bgColor rgb="FFDDF4E7"/>
        </x:patternFill>
      </x:fill>
    </x:dxf>
    <x:dxf>
      <x:font>
        <x:b/>
        <x:color rgb="FF8D2130"/>
      </x:font>
      <x:fill>
        <x:patternFill>
          <x:bgColor rgb="FFF9DDE1"/>
        </x:patternFill>
      </x:fill>
    </x:dxf>
    <x:dxf>
      <x:font>
        <x:b/>
        <x:color rgb="FF7A5700"/>
      </x:font>
      <x:fill>
        <x:patternFill>
          <x:bgColor rgb="FFFFF0C2"/>
        </x:patternFill>
      </x:fill>
    </x:dxf>
    <x:dxf>
      <x:font>
        <x:color rgb="FF5C5262"/>
      </x:font>
      <x:fill>
        <x:patternFill>
          <x:bgColor rgb="FFECE8EF"/>
        </x:patternFill>
      </x:fill>
    </x:dxf>
    <x:dxf>
      <x:font>
        <x:b/>
        <x:color rgb="FF16683F"/>
      </x:font>
      <x:fill>
        <x:patternFill>
          <x:bgColor rgb="FFDDF4E7"/>
        </x:patternFill>
      </x:fill>
    </x:dxf>
    <x:dxf>
      <x:font>
        <x:b/>
        <x:color rgb="FF8D2130"/>
      </x:font>
      <x:fill>
        <x:patternFill>
          <x:bgColor rgb="FFF9DDE1"/>
        </x:patternFill>
      </x:fill>
    </x:dxf>
    <x:dxf>
      <x:font>
        <x:b/>
        <x:color rgb="FF7A5700"/>
      </x:font>
      <x:fill>
        <x:patternFill>
          <x:bgColor rgb="FFFFF0C2"/>
        </x:patternFill>
      </x:fill>
    </x:dxf>
    <x:dxf>
      <x:font>
        <x:color rgb="FF5C5262"/>
      </x:font>
      <x:fill>
        <x:patternFill>
          <x:bgColor rgb="FFECE8EF"/>
        </x:patternFill>
      </x:fill>
    </x:dxf>
    <x:dxf>
      <x:font>
        <x:b/>
        <x:color rgb="FFFFFFFF"/>
      </x:font>
      <x:fill>
        <x:patternFill>
          <x:bgColor rgb="FF7F1D1D"/>
        </x:patternFill>
      </x:fill>
    </x:dxf>
    <x:dxf>
      <x:font>
        <x:b/>
        <x:color rgb="FF8D2130"/>
      </x:font>
      <x:fill>
        <x:patternFill>
          <x:bgColor rgb="FFF9DDE1"/>
        </x:patternFill>
      </x:fill>
    </x:dxf>
    <x:dxf>
      <x:font>
        <x:b/>
        <x:color rgb="FF16683F"/>
      </x:font>
      <x:fill>
        <x:patternFill>
          <x:bgColor rgb="FFDDF4E7"/>
        </x:patternFill>
      </x:fill>
    </x:dxf>
    <x:dxf>
      <x:font>
        <x:b/>
        <x:color rgb="FF8D2130"/>
      </x:font>
      <x:fill>
        <x:patternFill>
          <x:bgColor rgb="FFF9DDE1"/>
        </x:patternFill>
      </x:fill>
    </x:dxf>
    <x:dxf>
      <x:font>
        <x:b/>
        <x:color rgb="FF7A5700"/>
      </x:font>
      <x:fill>
        <x:patternFill>
          <x:bgColor rgb="FFFFF0C2"/>
        </x:patternFill>
      </x:fill>
    </x:dxf>
    <x:dxf>
      <x:font>
        <x:color rgb="FF5C5262"/>
      </x:font>
      <x:fill>
        <x:patternFill>
          <x:bgColor rgb="FFECE8EF"/>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b6fe7a66bd4bc5" /><Relationship Type="http://schemas.openxmlformats.org/officeDocument/2006/relationships/theme" Target="/xl/theme/theme1.xml" Id="R5b6724b48435432c" /><Relationship Type="http://schemas.openxmlformats.org/officeDocument/2006/relationships/sharedStrings" Target="/xl/sharedStrings.xml" Id="R3adc1d73c34346ac" /><Relationship Type="http://schemas.openxmlformats.org/officeDocument/2006/relationships/worksheet" Target="/xl/worksheets/sheet1.xml" Id="R5cb735df47714173" /><Relationship Type="http://schemas.openxmlformats.org/officeDocument/2006/relationships/worksheet" Target="/xl/worksheets/sheet2.xml" Id="R9c5d2c3360344fb8" /><Relationship Type="http://schemas.openxmlformats.org/officeDocument/2006/relationships/worksheet" Target="/xl/worksheets/sheet3.xml" Id="R192b8196d3b64bff" /><Relationship Type="http://schemas.openxmlformats.org/officeDocument/2006/relationships/worksheet" Target="/xl/worksheets/sheet4.xml" Id="Raaf288a987644303" /><Relationship Type="http://schemas.openxmlformats.org/officeDocument/2006/relationships/worksheet" Target="/xl/worksheets/sheet5.xml" Id="R8b345dfbcc6d4f9e" /><Relationship Type="http://schemas.microsoft.com/office/2017/10/relationships/person" Target="/xl/persons/person.xml" Id="R2733ace27fef46d3" /></Relationships>
</file>

<file path=xl/persons/person.xml><?xml version="1.0" encoding="utf-8"?>
<xltc:personList xmlns:xltc="http://schemas.microsoft.com/office/spreadsheetml/2018/threadedcomments">
  <xltc:person displayName="Breno" id="{48E8FDB5-6176-4F8F-97C1-784795BAF667}"/>
</xltc:personList>
</file>

<file path=xl/tables/table1.xml><?xml version="1.0" encoding="utf-8"?>
<x:table xmlns:x="http://schemas.openxmlformats.org/spreadsheetml/2006/main" id="22" name="AuditPhases" displayName="AuditPhases" ref="A13:H18" headerRowCount="1" totalsRowCount="0" totalsRowShown="0">
  <x:tableColumns count="8">
    <x:tableColumn id="1" name="Phase"/>
    <x:tableColumn id="2" name="Status"/>
    <x:tableColumn id="3" name="Evidence"/>
    <x:tableColumn id="4" name="Next"/>
    <x:tableColumn id="5" name="Owner"/>
    <x:tableColumn id="6" name="Spec gate"/>
    <x:tableColumn id="7" name="PR"/>
    <x:tableColumn id="8" name="Notes"/>
  </x:tableColumns>
  <x:tableStyleInfo name="TableStyleMedium2" showFirstColumn="0" showLastColumn="0" showRowStripes="1" showColumnStripes="0"/>
</x:table>
</file>

<file path=xl/tables/table2.xml><?xml version="1.0" encoding="utf-8"?>
<x:table xmlns:x="http://schemas.openxmlformats.org/spreadsheetml/2006/main" id="19" name="CurrentUserStories" displayName="CurrentUserStories" ref="A5:O289" headerRowCount="1" totalsRowCount="0" totalsRowShown="0">
  <x:autoFilter ref="A5:O289"/>
  <x:tableColumns count="15">
    <x:tableColumn id="1" name="ID"/>
    <x:tableColumn id="2" name="Area"/>
    <x:tableColumn id="3" name="Persona"/>
    <x:tableColumn id="4" name="User story"/>
    <x:tableColumn id="5" name="Expected behaviour"/>
    <x:tableColumn id="6" name="Route / surface"/>
    <x:tableColumn id="7" name="Preconditions"/>
    <x:tableColumn id="8" name="Interaction / evidence"/>
    <x:tableColumn id="9" name="Automated check"/>
    <x:tableColumn id="10" name="Baseline status"/>
    <x:tableColumn id="11" name="Current status"/>
    <x:tableColumn id="12" name="Last tested"/>
    <x:tableColumn id="13" name="Defect IDs"/>
    <x:tableColumn id="14" name="Notes"/>
    <x:tableColumn id="15" name="Source"/>
  </x:tableColumns>
  <x:tableStyleInfo name="TableStyleMedium2" showFirstColumn="0" showLastColumn="0" showRowStripes="1" showColumnStripes="0"/>
</x:table>
</file>

<file path=xl/tables/table3.xml><?xml version="1.0" encoding="utf-8"?>
<x:table xmlns:x="http://schemas.openxmlformats.org/spreadsheetml/2006/main" id="2" name="ProtocolTable" displayName="ProtocolTable" ref="A5:G31" headerRowCount="1" totalsRowCount="0" totalsRowShown="0">
  <x:tableColumns count="7">
    <x:tableColumn id="1" name="ID"/>
    <x:tableColumn id="2" name="Spec area"/>
    <x:tableColumn id="3" name="Requirement"/>
    <x:tableColumn id="4" name="Implementation evidence"/>
    <x:tableColumn id="5" name="Test evidence"/>
    <x:tableColumn id="6" name="Status"/>
    <x:tableColumn id="7" name="Defect ID"/>
  </x:tableColumns>
  <x:tableStyleInfo name="TableStyleMedium4" showFirstColumn="0" showLastColumn="0" showRowStripes="1" showColumnStripes="0"/>
</x:table>
</file>

<file path=xl/tables/table4.xml><?xml version="1.0" encoding="utf-8"?>
<x:table xmlns:x="http://schemas.openxmlformats.org/spreadsheetml/2006/main" id="20" name="AuditDefects" displayName="AuditDefects" ref="A5:K64" headerRowCount="1" totalsRowCount="0" totalsRowShown="0">
  <x:tableColumns count="11">
    <x:tableColumn id="1" name="ID"/>
    <x:tableColumn id="2" name="Severity"/>
    <x:tableColumn id="3" name="Area"/>
    <x:tableColumn id="4" name="Summary"/>
    <x:tableColumn id="5" name="Reproduction"/>
    <x:tableColumn id="6" name="Expected"/>
    <x:tableColumn id="7" name="Actual"/>
    <x:tableColumn id="8" name="Source evidence"/>
    <x:tableColumn id="9" name="Regression test"/>
    <x:tableColumn id="10" name="Fix commit"/>
    <x:tableColumn id="11" name="Status"/>
  </x:tableColumns>
  <x:tableStyleInfo name="TableStyleMedium2" showFirstColumn="0" showLastColumn="0" showRowStripes="1" showColumnStripes="0"/>
</x:table>
</file>

<file path=xl/tables/table5.xml><?xml version="1.0" encoding="utf-8"?>
<x:table xmlns:x="http://schemas.openxmlformats.org/spreadsheetml/2006/main" id="21" name="AuditTestRuns" displayName="AuditTestRuns" ref="A5:J24" headerRowCount="1" totalsRowCount="0" totalsRowShown="0">
  <x:tableColumns count="10">
    <x:tableColumn id="1" name="Run ID"/>
    <x:tableColumn id="2" name="Timestamp"/>
    <x:tableColumn id="3" name="Scope"/>
    <x:tableColumn id="4" name="Command / steps"/>
    <x:tableColumn id="5" name="Result"/>
    <x:tableColumn id="6" name="Pass"/>
    <x:tableColumn id="7" name="Fail"/>
    <x:tableColumn id="8" name="Blocked"/>
    <x:tableColumn id="9" name="Evidence"/>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b69825798a494f" /></Relationships>
</file>

<file path=xl/worksheets/_rels/sheet2.xml.rels>&#65279;<?xml version="1.0" encoding="utf-8"?><Relationships xmlns="http://schemas.openxmlformats.org/package/2006/relationships"><Relationship Type="http://schemas.openxmlformats.org/officeDocument/2006/relationships/table" Target="/xl/tables/table2.xml" Id="Reac165230f524d87" /></Relationships>
</file>

<file path=xl/worksheets/_rels/sheet3.xml.rels>&#65279;<?xml version="1.0" encoding="utf-8"?><Relationships xmlns="http://schemas.openxmlformats.org/package/2006/relationships"><Relationship Type="http://schemas.openxmlformats.org/officeDocument/2006/relationships/table" Target="/xl/tables/table3.xml" Id="R24d12a71ac4e4f20" /></Relationships>
</file>

<file path=xl/worksheets/_rels/sheet4.xml.rels>&#65279;<?xml version="1.0" encoding="utf-8"?><Relationships xmlns="http://schemas.openxmlformats.org/package/2006/relationships"><Relationship Type="http://schemas.openxmlformats.org/officeDocument/2006/relationships/table" Target="/xl/tables/table4.xml" Id="R330a4466c7ac4bab" /></Relationships>
</file>

<file path=xl/worksheets/_rels/sheet5.xml.rels>&#65279;<?xml version="1.0" encoding="utf-8"?><Relationships xmlns="http://schemas.openxmlformats.org/package/2006/relationships"><Relationship Type="http://schemas.openxmlformats.org/officeDocument/2006/relationships/table" Target="/xl/tables/table5.xml" Id="Rd1caaf3faf214e98"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20" hidden="0" customWidth="1"/>
    <x:col min="4" max="4" width="44" hidden="0" customWidth="1"/>
    <x:col min="5" max="5" width="14" hidden="0" customWidth="1"/>
    <x:col min="6" max="6" width="34" hidden="0" customWidth="1"/>
    <x:col min="7" max="7" width="18" hidden="0" customWidth="1"/>
    <x:col min="8" max="8" width="42" hidden="0" customWidth="1"/>
  </x:cols>
  <x:sheetData>
    <x:row r="1" ht="30" customHeight="1">
      <x:c r="A1" s="149" t="str">
        <x:v>NutFT feature audit</x:v>
      </x:c>
      <x:c r="B1" s="149"/>
      <x:c r="C1" s="149"/>
      <x:c r="D1" s="149"/>
      <x:c r="E1" s="149"/>
      <x:c r="F1" s="149"/>
      <x:c r="G1" s="149"/>
      <x:c r="H1" s="149"/>
    </x:row>
    <x:row r="2" ht="28" customHeight="1">
      <x:c r="A2" s="153" t="str">
        <x:v>Canonical current feature, protocol, defect, and test-run status · branch fix/nutft-user-story-audit</x:v>
      </x:c>
      <x:c r="B2" s="153"/>
      <x:c r="C2" s="153"/>
      <x:c r="D2" s="153"/>
      <x:c r="E2" s="153"/>
      <x:c r="F2" s="153"/>
      <x:c r="G2" s="153"/>
      <x:c r="H2" s="153"/>
    </x:row>
    <x:row r="3">
      <x:c r="A3"/>
      <x:c r="B3"/>
      <x:c r="C3"/>
      <x:c r="D3"/>
      <x:c r="E3"/>
      <x:c r="F3"/>
      <x:c r="G3"/>
      <x:c r="H3"/>
    </x:row>
    <x:row r="4">
      <x:c r="A4" s="85" t="str">
        <x:v>Branch</x:v>
      </x:c>
      <x:c r="B4" s="83" t="str">
        <x:v>fix/nutft-user-story-audit</x:v>
      </x:c>
      <x:c r="C4" s="83"/>
      <x:c r="D4" s="154" t="str">
        <x:v>User stories</x:v>
      </x:c>
      <x:c r="E4" s="154"/>
      <x:c r="F4" s="83"/>
      <x:c r="G4" s="155" t="str">
        <x:v>Open defects</x:v>
      </x:c>
      <x:c r="H4" s="155"/>
    </x:row>
    <x:row r="5">
      <x:c r="A5" s="85" t="str">
        <x:v>PR</x:v>
      </x:c>
      <x:c r="B5" s="83" t="str">
        <x:v>https://github.com/BIMbeamFLX/600BillionTimelockTCG/pull/23</x:v>
      </x:c>
      <x:c r="C5" s="83"/>
      <x:c r="D5" s="154" t="str">
        <x:v>Total</x:v>
      </x:c>
      <x:c r="E5" s="154" t="n">
        <x:f>COUNTA('User Stories'!$A$6:$A$600)</x:f>
        <x:v>284</x:v>
      </x:c>
      <x:c r="F5" s="83"/>
      <x:c r="G5" s="155" t="str">
        <x:v>Total open</x:v>
      </x:c>
      <x:c r="H5" s="155" t="n">
        <x:f>COUNTIFS('Defects'!$A$6:$A$500,"&lt;&gt;",'Defects'!$K$6:$K$500,"&lt;&gt;Verified",'Defects'!$K$6:$K$500,"&lt;&gt;Triaged")</x:f>
        <x:v>0</x:v>
      </x:c>
    </x:row>
    <x:row r="6">
      <x:c r="A6" s="85" t="str">
        <x:v>NUT-31 source</x:v>
      </x:c>
      <x:c r="B6" s="83" t="str">
        <x:v>NutFT/31.md</x:v>
      </x:c>
      <x:c r="C6" s="83"/>
      <x:c r="D6" s="154" t="str">
        <x:v>Pass</x:v>
      </x:c>
      <x:c r="E6" s="154" t="n">
        <x:f>COUNTIF('User Stories'!$K$6:$K$600,"Pass")</x:f>
        <x:v>284</x:v>
      </x:c>
      <x:c r="F6" s="83"/>
      <x:c r="G6" s="155" t="str">
        <x:v>Critical</x:v>
      </x:c>
      <x:c r="H6" s="155" t="n">
        <x:f>COUNTIFS('Defects'!$B$6:$B$500,"Critical",'Defects'!$K$6:$K$500,"&lt;&gt;Verified",'Defects'!$K$6:$K$500,"&lt;&gt;Triaged")</x:f>
        <x:v>0</x:v>
      </x:c>
    </x:row>
    <x:row r="7">
      <x:c r="A7" s="85" t="str">
        <x:v>Demo profile</x:v>
      </x:c>
      <x:c r="B7" s="83" t="str">
        <x:v>NutFT/docs/demo-spec.md</x:v>
      </x:c>
      <x:c r="C7" s="83"/>
      <x:c r="D7" s="154" t="str">
        <x:v>Fail</x:v>
      </x:c>
      <x:c r="E7" s="154" t="n">
        <x:f>COUNTIF('User Stories'!$K$6:$K$600,"Fail")</x:f>
        <x:v>0</x:v>
      </x:c>
      <x:c r="F7" s="83"/>
      <x:c r="G7" s="155" t="str">
        <x:v>High</x:v>
      </x:c>
      <x:c r="H7" s="155" t="n">
        <x:f>COUNTIFS('Defects'!$B$6:$B$500,"High",'Defects'!$K$6:$K$500,"&lt;&gt;Verified",'Defects'!$K$6:$K$500,"&lt;&gt;Triaged")</x:f>
        <x:v>0</x:v>
      </x:c>
    </x:row>
    <x:row r="8">
      <x:c r="A8" s="85" t="str">
        <x:v>Baseline commit</x:v>
      </x:c>
      <x:c r="B8" s="83" t="str">
        <x:v>04dc857</x:v>
      </x:c>
      <x:c r="C8" s="83"/>
      <x:c r="D8" s="154" t="str">
        <x:v>Not Run</x:v>
      </x:c>
      <x:c r="E8" s="154" t="n">
        <x:f>COUNTIF('User Stories'!$K$6:$K$600,"Not Run")</x:f>
        <x:v>0</x:v>
      </x:c>
      <x:c r="F8" s="83"/>
      <x:c r="G8" s="155" t="str">
        <x:v>Medium</x:v>
      </x:c>
      <x:c r="H8" s="155" t="n">
        <x:f>COUNTIFS('Defects'!$B$6:$B$500,"Medium",'Defects'!$K$6:$K$500,"&lt;&gt;Verified",'Defects'!$K$6:$K$500,"&lt;&gt;Triaged")</x:f>
        <x:v>0</x:v>
      </x:c>
    </x:row>
    <x:row r="9">
      <x:c r="A9" s="85" t="str">
        <x:v>Last updated</x:v>
      </x:c>
      <x:c r="B9" s="84" t="n">
        <x:v>46254.5</x:v>
      </x:c>
      <x:c r="C9" s="83"/>
      <x:c r="D9" s="154" t="str">
        <x:v>Blocked</x:v>
      </x:c>
      <x:c r="E9" s="154" t="n">
        <x:f>COUNTIF('User Stories'!$K$6:$K$600,"Blocked")</x:f>
        <x:v>0</x:v>
      </x:c>
      <x:c r="F9" s="83"/>
      <x:c r="G9" s="155" t="str">
        <x:v>Low</x:v>
      </x:c>
      <x:c r="H9" s="155" t="n">
        <x:f>COUNTIFS('Defects'!$B$6:$B$500,"Low",'Defects'!$K$6:$K$500,"&lt;&gt;Verified",'Defects'!$K$6:$K$500,"&lt;&gt;Triaged")</x:f>
        <x:v>0</x:v>
      </x:c>
    </x:row>
    <x:row r="10">
      <x:c r="A10"/>
      <x:c r="B10"/>
      <x:c r="C10"/>
      <x:c r="D10"/>
      <x:c r="E10"/>
      <x:c r="F10"/>
      <x:c r="G10"/>
      <x:c r="H10"/>
    </x:row>
    <x:row r="11" ht="36" customHeight="1">
      <x:c r="A11" s="159" t="str">
        <x:v>Current gate: COMPLETE. 284/284 user stories and 26/26 protocol requirements pass post-fix. Zero open app defects; four repository checks are blocked only by two absent historical art manifests.</x:v>
      </x:c>
      <x:c r="B11" s="159"/>
      <x:c r="C11" s="159"/>
      <x:c r="D11" s="159"/>
      <x:c r="E11" s="159"/>
      <x:c r="F11" s="159"/>
      <x:c r="G11" s="159"/>
      <x:c r="H11" s="159"/>
    </x:row>
    <x:row r="12">
      <x:c r="A12"/>
      <x:c r="B12"/>
      <x:c r="C12"/>
      <x:c r="D12"/>
      <x:c r="E12"/>
      <x:c r="F12"/>
      <x:c r="G12"/>
      <x:c r="H12"/>
    </x:row>
    <x:row r="13" ht="15" hidden="0" customHeight="1">
      <x:c r="A13" s="53" t="str">
        <x:v>Phase</x:v>
      </x:c>
      <x:c r="B13" s="53" t="str">
        <x:v>Status</x:v>
      </x:c>
      <x:c r="C13" s="53" t="str">
        <x:v>Evidence</x:v>
      </x:c>
      <x:c r="D13" s="53" t="str">
        <x:v>Next</x:v>
      </x:c>
      <x:c r="E13" s="53" t="str">
        <x:v>Owner</x:v>
      </x:c>
      <x:c r="F13" s="53" t="str">
        <x:v>Spec gate</x:v>
      </x:c>
      <x:c r="G13" s="53" t="str">
        <x:v>PR</x:v>
      </x:c>
      <x:c r="H13" s="53" t="str">
        <x:v>Notes</x:v>
      </x:c>
    </x:row>
    <x:row r="14" ht="26.399999618530273" hidden="0" customHeight="1">
      <x:c r="A14" s="53" t="str">
        <x:v>Inventory</x:v>
      </x:c>
      <x:c r="B14" s="53" t="str">
        <x:v>Complete</x:v>
      </x:c>
      <x:c r="C14" s="53" t="str">
        <x:v>284 current stories · 26 protocol rows</x:v>
      </x:c>
      <x:c r="D14" s="53" t="str">
        <x:v>None</x:v>
      </x:c>
      <x:c r="E14" s="53" t="str">
        <x:v>Parent</x:v>
      </x:c>
      <x:c r="F14" s="53" t="str">
        <x:v>Every coded feature has a story</x:v>
      </x:c>
      <x:c r="G14" s="53" t="str">
        <x:v>PR #23</x:v>
      </x:c>
      <x:c r="H14" s="53" t="str">
        <x:v>Multi-line source fields repaired and reconciled to current code</x:v>
      </x:c>
    </x:row>
    <x:row r="15" ht="26.399999618530273" hidden="0" customHeight="1">
      <x:c r="A15" s="53" t="str">
        <x:v>Pre-fix testing</x:v>
      </x:c>
      <x:c r="B15" s="53" t="str">
        <x:v>Complete</x:v>
      </x:c>
      <x:c r="C15" s="53" t="str">
        <x:v>RUN-011 through RUN-013</x:v>
      </x:c>
      <x:c r="D15" s="53" t="str">
        <x:v>None</x:v>
      </x:c>
      <x:c r="E15" s="53" t="str">
        <x:v>Parent</x:v>
      </x:c>
      <x:c r="F15" s="53" t="str">
        <x:v>Every reproduced failure recorded</x:v>
      </x:c>
      <x:c r="G15" s="53" t="str">
        <x:v>PR #23</x:v>
      </x:c>
      <x:c r="H15" s="53" t="str">
        <x:v>19 validated defects D-041–D-059</x:v>
      </x:c>
    </x:row>
    <x:row r="16" ht="26.399999618530273" hidden="0" customHeight="1">
      <x:c r="A16" s="53" t="str">
        <x:v>TDD fixes</x:v>
      </x:c>
      <x:c r="B16" s="53" t="str">
        <x:v>Complete</x:v>
      </x:c>
      <x:c r="C16" s="53" t="str">
        <x:v>19 focused regressions + 19 atomic fix commits</x:v>
      </x:c>
      <x:c r="D16" s="53" t="str">
        <x:v>None</x:v>
      </x:c>
      <x:c r="E16" s="53" t="str">
        <x:v>Parent</x:v>
      </x:c>
      <x:c r="F16" s="53" t="str">
        <x:v>No untested nontrivial fix</x:v>
      </x:c>
      <x:c r="G16" s="53" t="str">
        <x:v>PR #23</x:v>
      </x:c>
      <x:c r="H16" s="53" t="str">
        <x:v>All validated logistics/UX/security defects verified</x:v>
      </x:c>
    </x:row>
    <x:row r="17" ht="26.399999618530273" hidden="0" customHeight="1">
      <x:c r="A17" s="53" t="str">
        <x:v>Post-fix retest</x:v>
      </x:c>
      <x:c r="B17" s="53" t="str">
        <x:v>Complete</x:v>
      </x:c>
      <x:c r="C17" s="53" t="str">
        <x:v>RUN-015 through RUN-019</x:v>
      </x:c>
      <x:c r="D17" s="53" t="str">
        <x:v>None</x:v>
      </x:c>
      <x:c r="E17" s="53" t="str">
        <x:v>Parent</x:v>
      </x:c>
      <x:c r="F17" s="53" t="str">
        <x:v>Every story has grouped final evidence</x:v>
      </x:c>
      <x:c r="G17" s="53" t="str">
        <x:v>PR #23</x:v>
      </x:c>
      <x:c r="H17" s="53" t="str">
        <x:v>351 JS; 109 Python pass; browser/build/two-client pass</x:v>
      </x:c>
    </x:row>
    <x:row r="18" ht="26.399999618530273" hidden="0" customHeight="1">
      <x:c r="A18" s="53" t="str">
        <x:v>Completion audit</x:v>
      </x:c>
      <x:c r="B18" s="53" t="str">
        <x:v>Complete</x:v>
      </x:c>
      <x:c r="C18" s="53" t="str">
        <x:v>Tracker formula scan + rendered sheet inspection</x:v>
      </x:c>
      <x:c r="D18" s="53" t="str">
        <x:v>None</x:v>
      </x:c>
      <x:c r="E18" s="53" t="str">
        <x:v>Parent</x:v>
      </x:c>
      <x:c r="F18" s="53" t="str">
        <x:v>Specs, code, tests and tracker agree</x:v>
      </x:c>
      <x:c r="G18" s="53" t="str">
        <x:v>PR #23</x:v>
      </x:c>
      <x:c r="H18" s="53" t="str">
        <x:v>Four art-pipeline checks documented under D-018; no runtime defect</x:v>
      </x:c>
    </x:row>
  </x:sheetData>
  <x:mergeCells>
    <x:mergeCell ref="A1:H1"/>
    <x:mergeCell ref="A2:H2"/>
    <x:mergeCell ref="A11:H11"/>
  </x:mergeCells>
  <x:pageMargins left="0.7" right="0.7" top="0.75" bottom="0.75" header="0.3" footer="0.3"/>
  <x:tableParts count="1">
    <x:tablePart xmlns:r="http://schemas.openxmlformats.org/officeDocument/2006/relationships" r:id="R11b69825798a494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4" hidden="0" customWidth="1"/>
    <x:col min="4" max="4" width="44" hidden="0" customWidth="1"/>
    <x:col min="5" max="5" width="64" hidden="0" customWidth="1"/>
    <x:col min="6" max="6" width="32" hidden="0" customWidth="1"/>
    <x:col min="7" max="7" width="42" hidden="0" customWidth="1"/>
    <x:col min="8" max="8" width="40" hidden="0" customWidth="1"/>
    <x:col min="9" max="9" width="52" hidden="0" customWidth="1"/>
    <x:col min="10" max="10" width="15" hidden="0" customWidth="1"/>
    <x:col min="11" max="11" width="15" hidden="0" customWidth="1"/>
    <x:col min="12" max="12" width="16" hidden="0" customWidth="1"/>
    <x:col min="13" max="13" width="18" hidden="0" customWidth="1"/>
    <x:col min="14" max="14" width="54" hidden="0" customWidth="1"/>
    <x:col min="15" max="15" width="42" hidden="0" customWidth="1"/>
  </x:cols>
  <x:sheetData>
    <x:row r="1" ht="30" hidden="0" customHeight="1">
      <x:c r="A1" s="149" t="str">
        <x:v>NutFT app user stories</x:v>
      </x:c>
      <x:c r="B1" s="149"/>
      <x:c r="C1" s="149"/>
      <x:c r="D1" s="149"/>
      <x:c r="E1" s="149"/>
      <x:c r="F1" s="149"/>
      <x:c r="G1" s="149"/>
      <x:c r="H1" s="149"/>
      <x:c r="I1" s="149"/>
      <x:c r="J1" s="149"/>
      <x:c r="K1" s="149"/>
      <x:c r="L1" s="149"/>
      <x:c r="M1" s="149"/>
      <x:c r="N1" s="149"/>
      <x:c r="O1" s="149"/>
      <x:c r="P1"/>
      <x:c r="Q1"/>
      <x:c r="R1"/>
      <x:c r="S1"/>
      <x:c r="T1"/>
      <x:c r="U1"/>
      <x:c r="V1"/>
      <x:c r="W1"/>
      <x:c r="X1"/>
      <x:c r="Y1"/>
      <x:c r="Z1"/>
    </x:row>
    <x:row r="2" ht="28" hidden="0" customHeight="1">
      <x:c r="A2" s="153" t="str">
        <x:v>Current code-backed feature inventory. Baseline and current status change only when a recorded run exercises the expected behavior.</x:v>
      </x:c>
      <x:c r="B2" s="153"/>
      <x:c r="C2" s="153"/>
      <x:c r="D2" s="153"/>
      <x:c r="E2" s="153"/>
      <x:c r="F2" s="153"/>
      <x:c r="G2" s="153"/>
      <x:c r="H2" s="153"/>
      <x:c r="I2" s="153"/>
      <x:c r="J2" s="153"/>
      <x:c r="K2" s="153"/>
      <x:c r="L2" s="153"/>
      <x:c r="M2" s="153"/>
      <x:c r="N2" s="153"/>
      <x:c r="O2" s="153"/>
      <x:c r="P2"/>
      <x:c r="Q2"/>
      <x:c r="R2"/>
      <x:c r="S2"/>
      <x:c r="T2"/>
      <x:c r="U2"/>
      <x:c r="V2"/>
      <x:c r="W2"/>
      <x:c r="X2"/>
      <x:c r="Y2"/>
      <x:c r="Z2"/>
    </x:row>
    <x:row r="3" ht="15" hidden="0" customHeight="1">
      <x:c r="A3"/>
      <x:c r="B3"/>
      <x:c r="C3"/>
      <x:c r="D3"/>
      <x:c r="E3"/>
      <x:c r="F3"/>
      <x:c r="G3"/>
      <x:c r="H3"/>
      <x:c r="I3"/>
      <x:c r="J3"/>
      <x:c r="K3"/>
      <x:c r="L3"/>
      <x:c r="M3"/>
      <x:c r="N3"/>
      <x:c r="O3"/>
    </x:row>
    <x:row r="4" ht="15" hidden="0" customHeight="1">
      <x:c r="A4"/>
      <x:c r="B4"/>
      <x:c r="C4"/>
      <x:c r="D4"/>
      <x:c r="E4"/>
      <x:c r="F4"/>
      <x:c r="G4"/>
      <x:c r="H4"/>
      <x:c r="I4"/>
      <x:c r="J4"/>
      <x:c r="K4"/>
      <x:c r="L4"/>
      <x:c r="M4"/>
      <x:c r="N4"/>
      <x:c r="O4"/>
    </x:row>
    <x:row r="5" ht="15" hidden="0" customHeight="1">
      <x:c r="A5" s="79" t="str">
        <x:v>ID</x:v>
      </x:c>
      <x:c r="B5" s="79" t="str">
        <x:v>Area</x:v>
      </x:c>
      <x:c r="C5" s="79" t="str">
        <x:v>Persona</x:v>
      </x:c>
      <x:c r="D5" s="79" t="str">
        <x:v>User story</x:v>
      </x:c>
      <x:c r="E5" s="79" t="str">
        <x:v>Expected behaviour</x:v>
      </x:c>
      <x:c r="F5" s="79" t="str">
        <x:v>Route / surface</x:v>
      </x:c>
      <x:c r="G5" s="79" t="str">
        <x:v>Preconditions</x:v>
      </x:c>
      <x:c r="H5" s="79" t="str">
        <x:v>Interaction / evidence</x:v>
      </x:c>
      <x:c r="I5" s="79" t="str">
        <x:v>Automated check</x:v>
      </x:c>
      <x:c r="J5" s="79" t="str">
        <x:v>Baseline status</x:v>
      </x:c>
      <x:c r="K5" s="79" t="str">
        <x:v>Current status</x:v>
      </x:c>
      <x:c r="L5" s="79" t="str">
        <x:v>Last tested</x:v>
      </x:c>
      <x:c r="M5" s="79" t="str">
        <x:v>Defect IDs</x:v>
      </x:c>
      <x:c r="N5" s="79" t="str">
        <x:v>Notes</x:v>
      </x:c>
      <x:c r="O5" s="79" t="str">
        <x:v>Source</x:v>
      </x:c>
    </x:row>
    <x:row r="6" ht="43.20000076293945" hidden="0" customHeight="1">
      <x:c r="A6" s="80" t="str">
        <x:v>DECK-US-001</x:v>
      </x:c>
      <x:c r="B6" s="80" t="str">
        <x:v>Stack Builder</x:v>
      </x:c>
      <x:c r="C6" s="80" t="str">
        <x:v>player</x:v>
      </x:c>
      <x:c r="D6" s="80" t="str">
        <x:v>As a player, I can open Stacks and navigate across the app.</x:v>
      </x:c>
      <x:c r="E6" s="80" t="str">
        <x:v>The page loads as “Stacks &amp; Collection”, has a skip link, site navigation, and links to Play, online play, Shop, Cards, Rules, Lore and Leaderboard. Implemented statically.</x:v>
      </x:c>
      <x:c r="F6" s="80" t="str">
        <x:v>/deck.html and handoffs</x:v>
      </x:c>
      <x:c r="G6" s="80" t="str">
        <x:v>A visitor opens Stacks; any page shell or plain website is available.</x:v>
      </x:c>
      <x:c r="H6" s="80" t="str">
        <x:v>open Stacks and navigate across the app</x:v>
      </x:c>
      <x:c r="I6" s="80" t="str">
        <x:v>No direct DOM test. Final: RUN-015 JavaScript suite; RUN-017 browser/mobile matrix; RUN-018 two-client match where applicable.</x:v>
      </x:c>
      <x:c r="J6" s="80" t="str">
        <x:v>Pass</x:v>
      </x:c>
      <x:c r="K6" s="80" t="str">
        <x:v>Pass</x:v>
      </x:c>
      <x:c r="L6" s="139" t="n">
        <x:v>46254.5</x:v>
      </x:c>
      <x:c r="M6" s="80"/>
      <x:c r="N6" s="80" t="str">
        <x:v>Visual/navigation regression is untested. Final disposition: expected behaviour passed through grouped executable checks and code-backed inspection. Evidence: RUN-015 JavaScript suite; RUN-017 browser/mobile matrix; RUN-018 two-client match where applicable.</x:v>
      </x:c>
      <x:c r="O6" s="80" t="str">
        <x:v>site/deck.html:1-18,245-259,361-366</x:v>
      </x:c>
    </x:row>
    <x:row r="7" ht="43.20000076293945" hidden="0" customHeight="1">
      <x:c r="A7" s="80" t="str">
        <x:v>DECK-US-002</x:v>
      </x:c>
      <x:c r="B7" s="80" t="str">
        <x:v>Stack Builder</x:v>
      </x:c>
      <x:c r="C7" s="80" t="str">
        <x:v>player</x:v>
      </x:c>
      <x:c r="D7" s="80" t="str">
        <x:v>As a player, I can browse the complete Edition One card pool.</x:v>
      </x:c>
      <x:c r="E7" s="80" t="str">
        <x:v>The browser renders all E1_CARDS (currently 295), with card face, ID/name metadata, cost chip, affinity rail, lazy images, and result count. Implemented.</x:v>
      </x:c>
      <x:c r="F7" s="80" t="str">
        <x:v>/deck.html and handoffs</x:v>
      </x:c>
      <x:c r="G7" s="80" t="str">
        <x:v>A visitor opens the builder with the generated E1 catalog loaded.</x:v>
      </x:c>
      <x:c r="H7" s="80" t="str">
        <x:v>browse the complete Edition One card pool</x:v>
      </x:c>
      <x:c r="I7" s="80" t="str">
        <x:v>No direct builder test. Final: RUN-015 JavaScript suite; RUN-017 browser/mobile matrix; RUN-018 two-client match where applicable.</x:v>
      </x:c>
      <x:c r="J7" s="80" t="str">
        <x:v>Pass</x:v>
      </x:c>
      <x:c r="K7" s="80" t="str">
        <x:v>Pass</x:v>
      </x:c>
      <x:c r="L7" s="139" t="n">
        <x:v>46254.5</x:v>
      </x:c>
      <x:c r="M7" s="80"/>
      <x:c r="N7" s="80" t="str">
        <x:v>resultCount is code-backed but the initial 295-card promise is not asserted in a UI test. Final disposition: expected behaviour passed through grouped executable checks and code-backed inspection. Evidence: RUN-015 JavaScript suite; RUN-017 browser/mobile matrix; RUN-018 two-client match where applicable.</x:v>
      </x:c>
      <x:c r="O7" s="80" t="str">
        <x:v>site/deck.html:377-378,433-460,736-853; site/play-data.js:1-4</x:v>
      </x:c>
    </x:row>
    <x:row r="8" ht="43.20000076293945" hidden="0" customHeight="1">
      <x:c r="A8" s="80" t="str">
        <x:v>DECK-US-003</x:v>
      </x:c>
      <x:c r="B8" s="80" t="str">
        <x:v>Stack Builder</x:v>
      </x:c>
      <x:c r="C8" s="80" t="str">
        <x:v>player</x:v>
      </x:c>
      <x:c r="D8" s="80" t="str">
        <x:v>As a player, I can search cards by one or more terms.</x:v>
      </x:c>
      <x:c r="E8" s="80" t="str">
        <x:v>Search is trimmed, split into lowercase terms, debounced 90 ms, and matches ID, name, type/subtype, affinities, rarity, cost, keywords, rules text, flavor and help; every term must match. Implemented.</x:v>
      </x:c>
      <x:c r="F8" s="80" t="str">
        <x:v>/deck.html and handoffs</x:v>
      </x:c>
      <x:c r="G8" s="80" t="str">
        <x:v>A visitor searches by one or more terms.</x:v>
      </x:c>
      <x:c r="H8" s="80" t="str">
        <x:v>search cards by one or more terms</x:v>
      </x:c>
      <x:c r="I8" s="80" t="str">
        <x:v>No direct builder test. Final: RUN-015 JavaScript suite; RUN-017 browser/mobile matrix; RUN-018 two-client match where applicable.</x:v>
      </x:c>
      <x:c r="J8" s="80" t="str">
        <x:v>Pass</x:v>
      </x:c>
      <x:c r="K8" s="80" t="str">
        <x:v>Pass</x:v>
      </x:c>
      <x:c r="L8" s="139" t="n">
        <x:v>46254.5</x:v>
      </x:c>
      <x:c r="M8" s="80"/>
      <x:c r="N8" s="80" t="str">
        <x:v>Search behavior is not covered by automated DOM tests. Final disposition: expected behaviour passed through grouped executable checks and code-backed inspection. Evidence: RUN-015 JavaScript suite; RUN-017 browser/mobile matrix; RUN-018 two-client match where applicable.</x:v>
      </x:c>
      <x:c r="O8" s="80" t="str">
        <x:v>site/deck.html:444-454,710-719,1064-1073</x:v>
      </x:c>
    </x:row>
    <x:row r="9" ht="43.20000076293945" hidden="0" customHeight="1">
      <x:c r="A9" s="80" t="str">
        <x:v>DECK-US-004</x:v>
      </x:c>
      <x:c r="B9" s="80" t="str">
        <x:v>Stack Builder</x:v>
      </x:c>
      <x:c r="C9" s="80" t="str">
        <x:v>player</x:v>
      </x:c>
      <x:c r="D9" s="80" t="str">
        <x:v>As a player, I can sort the visible card pool.</x:v>
      </x:c>
      <x:c r="E9" s="80" t="str">
        <x:v>Set number, total printed cost, name A–Z, rarity (rare first), or card type order the visible cards with deterministic name/ID tie-breaks; resources sort before zero-cost cards. Implemented.</x:v>
      </x:c>
      <x:c r="F9" s="80" t="str">
        <x:v>/deck.html and handoffs</x:v>
      </x:c>
      <x:c r="G9" s="80" t="str">
        <x:v>A visitor selects a sort order.</x:v>
      </x:c>
      <x:c r="H9" s="80" t="str">
        <x:v>sort the visible card pool</x:v>
      </x:c>
      <x:c r="I9" s="80" t="str">
        <x:v>No direct builder test. Final: RUN-015 JavaScript suite; RUN-017 browser/mobile matrix; RUN-018 two-client match where applicable.</x:v>
      </x:c>
      <x:c r="J9" s="80" t="str">
        <x:v>Pass</x:v>
      </x:c>
      <x:c r="K9" s="80" t="str">
        <x:v>Pass</x:v>
      </x:c>
      <x:c r="L9" s="139" t="n">
        <x:v>46254.5</x:v>
      </x:c>
      <x:c r="M9" s="80"/>
      <x:c r="N9" s="80" t="str">
        <x:v>Total-cost treatment of X costs is documented in code but not surfaced to the user. Final disposition: expected behaviour passed through grouped executable checks and code-backed inspection. Evidence: RUN-015 JavaScript suite; RUN-017 browser/mobile matrix; RUN-018 two-client match where applicable.</x:v>
      </x:c>
      <x:c r="O9" s="80" t="str">
        <x:v>site/deck.html:269-275,722-734,847-853</x:v>
      </x:c>
    </x:row>
    <x:row r="10" ht="43.20000076293945" hidden="0" customHeight="1">
      <x:c r="A10" s="80" t="str">
        <x:v>DECK-US-005</x:v>
      </x:c>
      <x:c r="B10" s="80" t="str">
        <x:v>Stack Builder</x:v>
      </x:c>
      <x:c r="C10" s="80" t="str">
        <x:v>player</x:v>
      </x:c>
      <x:c r="D10" s="80" t="str">
        <x:v>As a player, I can filter cards by affinity.</x:v>
      </x:c>
      <x:c r="E10" s="80" t="str">
        <x:v>Affinity chips are multi-select; All clears only affinity selections; selected state is reflected through CSS and aria-pressed. Implemented.</x:v>
      </x:c>
      <x:c r="F10" s="80" t="str">
        <x:v>/deck.html and handoffs</x:v>
      </x:c>
      <x:c r="G10" s="80" t="str">
        <x:v>A visitor toggles affinity chips or All.</x:v>
      </x:c>
      <x:c r="H10" s="80" t="str">
        <x:v>filter cards by affinity</x:v>
      </x:c>
      <x:c r="I10" s="80" t="str">
        <x:v>No direct builder test. Final: RUN-015 JavaScript suite; RUN-017 browser/mobile matrix; RUN-018 two-client match where applicable.</x:v>
      </x:c>
      <x:c r="J10" s="80" t="str">
        <x:v>Pass</x:v>
      </x:c>
      <x:c r="K10" s="80" t="str">
        <x:v>Pass</x:v>
      </x:c>
      <x:c r="L10" s="139" t="n">
        <x:v>46254.5</x:v>
      </x:c>
      <x:c r="M10" s="80"/>
      <x:c r="N10" s="80" t="str">
        <x:v>“All” may be read as clearing every filter, but it only clears affinity. Clear filters is the actual global reset. Final disposition: expected behaviour passed through grouped executable checks and code-backed inspection. Evidence: RUN-015 JavaScript suite; RUN-017 browser/mobile matrix; RUN-018 two-client match where applicable.</x:v>
      </x:c>
      <x:c r="O10" s="80" t="str">
        <x:v>site/deck.html:426-430,640-697,663-674</x:v>
      </x:c>
    </x:row>
    <x:row r="11" ht="43.20000076293945" hidden="0" customHeight="1">
      <x:c r="A11" s="80" t="str">
        <x:v>DECK-US-006</x:v>
      </x:c>
      <x:c r="B11" s="80" t="str">
        <x:v>Stack Builder</x:v>
      </x:c>
      <x:c r="C11" s="80" t="str">
        <x:v>player</x:v>
      </x:c>
      <x:c r="D11" s="80" t="str">
        <x:v>As a player, I can use type, cost, and rarity filters.</x:v>
      </x:c>
      <x:c r="E11" s="80" t="str">
        <x:v>Type, cost (—, 0–6+), and rarity facets are generated from catalog data; a badge reports active secondary facet count. Implemented.</x:v>
      </x:c>
      <x:c r="F11" s="80" t="str">
        <x:v>/deck.html and handoffs</x:v>
      </x:c>
      <x:c r="G11" s="80" t="str">
        <x:v>A visitor opens More filters and chooses card type, cost bucket, or rarity.</x:v>
      </x:c>
      <x:c r="H11" s="80" t="str">
        <x:v>use type, cost, and rarity filters</x:v>
      </x:c>
      <x:c r="I11" s="80" t="str">
        <x:v>No direct builder test. Final: RUN-015 JavaScript suite; RUN-017 browser/mobile matrix; RUN-018 two-client match where applicable.</x:v>
      </x:c>
      <x:c r="J11" s="80" t="str">
        <x:v>Pass</x:v>
      </x:c>
      <x:c r="K11" s="80" t="str">
        <x:v>Pass</x:v>
      </x:c>
      <x:c r="L11" s="139" t="n">
        <x:v>46254.5</x:v>
      </x:c>
      <x:c r="M11" s="80"/>
      <x:c r="N11" s="80" t="str">
        <x:v>No UI test verifies facet values stay in sync with regenerated catalog data. Final disposition: expected behaviour passed through grouped executable checks and code-backed inspection. Evidence: RUN-015 JavaScript suite; RUN-017 browser/mobile matrix; RUN-018 two-client match where applicable.</x:v>
      </x:c>
      <x:c r="O11" s="80" t="str">
        <x:v>site/deck.html:282-287,457-460,669-671,692-697</x:v>
      </x:c>
    </x:row>
    <x:row r="12" ht="43.20000076293945" hidden="0" customHeight="1">
      <x:c r="A12" s="80" t="str">
        <x:v>DECK-US-007</x:v>
      </x:c>
      <x:c r="B12" s="80" t="str">
        <x:v>Stack Builder</x:v>
      </x:c>
      <x:c r="C12" s="80" t="str">
        <x:v>player</x:v>
      </x:c>
      <x:c r="D12" s="80" t="str">
        <x:v>As a player, I can filter to cards already in my Stack.</x:v>
      </x:c>
      <x:c r="E12" s="80" t="str">
        <x:v>The In Stack chip appears, filters to cards with a positive count, and disappears/resets when the Stack becomes empty. Implemented.</x:v>
      </x:c>
      <x:c r="F12" s="80" t="str">
        <x:v>/deck.html and handoffs</x:v>
      </x:c>
      <x:c r="G12" s="80" t="str">
        <x:v>A visitor has at least one card in the current Stack.</x:v>
      </x:c>
      <x:c r="H12" s="80" t="str">
        <x:v>filter to cards already in my Stack</x:v>
      </x:c>
      <x:c r="I12" s="80" t="str">
        <x:v>No direct builder test. Final: RUN-015 JavaScript suite; RUN-017 browser/mobile matrix; RUN-018 two-client match where applicable.</x:v>
      </x:c>
      <x:c r="J12" s="80" t="str">
        <x:v>Pass</x:v>
      </x:c>
      <x:c r="K12" s="80" t="str">
        <x:v>Pass</x:v>
      </x:c>
      <x:c r="L12" s="139" t="n">
        <x:v>46254.5</x:v>
      </x:c>
      <x:c r="M12" s="80"/>
      <x:c r="N12" s="80" t="str">
        <x:v>None beyond missing DOM coverage. Final disposition: expected behaviour passed through grouped executable checks and code-backed inspection. Evidence: RUN-015 JavaScript suite; RUN-017 browser/mobile matrix; RUN-018 two-client match where applicable.</x:v>
      </x:c>
      <x:c r="O12" s="80" t="str">
        <x:v>site/deck.html:276,699-703,710-719,981-984</x:v>
      </x:c>
    </x:row>
    <x:row r="13" ht="43.20000076293945" hidden="0" customHeight="1">
      <x:c r="A13" s="80" t="str">
        <x:v>DECK-US-008</x:v>
      </x:c>
      <x:c r="B13" s="80" t="str">
        <x:v>Stack Builder</x:v>
      </x:c>
      <x:c r="C13" s="80" t="str">
        <x:v>player</x:v>
      </x:c>
      <x:c r="D13" s="80" t="str">
        <x:v>As a player, I can clear discovery state and use keyboard shortcuts.</x:v>
      </x:c>
      <x:c r="E13" s="80" t="str">
        <x:v>Clear filters empties search and every facet, restores the full grid, and focuses search; / focuses/selects search when not typing; Escape clears the search field. Implemented, partially ambiguous.</x:v>
      </x:c>
      <x:c r="F13" s="80" t="str">
        <x:v>/deck.html and handoffs</x:v>
      </x:c>
      <x:c r="G13" s="80" t="str">
        <x:v>A visitor wants to reset discovery state or use keyboard navigation.</x:v>
      </x:c>
      <x:c r="H13" s="80" t="str">
        <x:v>clear discovery state and use keyboard shortcuts</x:v>
      </x:c>
      <x:c r="I13" s="80" t="str">
        <x:v>No direct builder test. Final: RUN-015 JavaScript suite; RUN-017 browser/mobile matrix; RUN-018 two-client match where applicable.</x:v>
      </x:c>
      <x:c r="J13" s="80" t="str">
        <x:v>Pass</x:v>
      </x:c>
      <x:c r="K13" s="80" t="str">
        <x:v>Pass</x:v>
      </x:c>
      <x:c r="L13" s="139" t="n">
        <x:v>46254.5</x:v>
      </x:c>
      <x:c r="M13" s="80"/>
      <x:c r="N13" s="80" t="str">
        <x:v>Hint says “Esc clears” but Escape clears only search, not active facets or In Stack. Final disposition: expected behaviour passed through grouped executable checks and code-backed inspection. Evidence: RUN-015 JavaScript suite; RUN-017 browser/mobile matrix; RUN-018 two-client match where applicable.</x:v>
      </x:c>
      <x:c r="O13" s="80" t="str">
        <x:v>site/deck.html:1076-1105; hint at site/deck.html:277</x:v>
      </x:c>
    </x:row>
    <x:row r="14" ht="43.20000076293945" hidden="0" customHeight="1">
      <x:c r="A14" s="80" t="str">
        <x:v>DECK-US-009</x:v>
      </x:c>
      <x:c r="B14" s="80" t="str">
        <x:v>Stack Builder</x:v>
      </x:c>
      <x:c r="C14" s="80" t="str">
        <x:v>player</x:v>
      </x:c>
      <x:c r="D14" s="80" t="str">
        <x:v>As a player, I can understand when filters match no cards.</x:v>
      </x:c>
      <x:c r="E14" s="80" t="str">
        <x:v>Result status remains live, clear-filters appears when state is active, and “Nothing matches” is shown when the visible list is empty. Implemented.</x:v>
      </x:c>
      <x:c r="F14" s="80" t="str">
        <x:v>/deck.html and handoffs</x:v>
      </x:c>
      <x:c r="G14" s="80" t="str">
        <x:v>A visitor applies filters that match no cards.</x:v>
      </x:c>
      <x:c r="H14" s="80" t="str">
        <x:v>understand when filters match no cards</x:v>
      </x:c>
      <x:c r="I14" s="80" t="str">
        <x:v>No direct builder test. Final: RUN-015 JavaScript suite; RUN-017 browser/mobile matrix; RUN-018 two-client match where applicable.</x:v>
      </x:c>
      <x:c r="J14" s="80" t="str">
        <x:v>Pass</x:v>
      </x:c>
      <x:c r="K14" s="80" t="str">
        <x:v>Pass</x:v>
      </x:c>
      <x:c r="L14" s="139" t="n">
        <x:v>46254.5</x:v>
      </x:c>
      <x:c r="M14" s="80"/>
      <x:c r="N14" s="80" t="str">
        <x:v>0 of 295 does not explain whether zero is caused by OG ownership filtering versus user facets. Final disposition: expected behaviour passed through grouped executable checks and code-backed inspection. Evidence: RUN-015 JavaScript suite; RUN-017 browser/mobile matrix; RUN-018 two-client match where applicable.</x:v>
      </x:c>
      <x:c r="O14" s="80" t="str">
        <x:v>site/deck.html:289-297,837-853</x:v>
      </x:c>
    </x:row>
    <x:row r="15" ht="32.400001525878906" hidden="0" customHeight="1">
      <x:c r="A15" s="80" t="str">
        <x:v>DECK-US-010</x:v>
      </x:c>
      <x:c r="B15" s="80" t="str">
        <x:v>Stack Builder</x:v>
      </x:c>
      <x:c r="C15" s="80" t="str">
        <x:v>player</x:v>
      </x:c>
      <x:c r="D15" s="80" t="str">
        <x:v>As a player, I can add card copies from the grid.</x:v>
      </x:c>
      <x:c r="E15" s="80" t="str">
        <x:v>One copy is added; the tile badge, border, minus control, Stack count, meter, breakdown and result subcount update. Implemented.</x:v>
      </x:c>
      <x:c r="F15" s="80" t="str">
        <x:v>/deck.html and handoffs</x:v>
      </x:c>
      <x:c r="G15" s="80" t="str">
        <x:v>A visitor clicks/taps a playable card or focuses it and presses Enter/Space.</x:v>
      </x:c>
      <x:c r="H15" s="80" t="str">
        <x:v>add card copies from the grid</x:v>
      </x:c>
      <x:c r="I15" s="80" t="str">
        <x:v>Engine contract: tests/js/deck.test.mjs:42-46. Final: RUN-015 JavaScript suite; RUN-017 browser/mobile matrix; RUN-018 two-client match where applicable.</x:v>
      </x:c>
      <x:c r="J15" s="80" t="str">
        <x:v>Pass</x:v>
      </x:c>
      <x:c r="K15" s="80" t="str">
        <x:v>Pass</x:v>
      </x:c>
      <x:c r="L15" s="139" t="n">
        <x:v>46254.5</x:v>
      </x:c>
      <x:c r="M15" s="80"/>
      <x:c r="N15" s="80" t="str">
        <x:v>UI add-path has no browser test. Final disposition: expected behaviour passed through grouped executable checks and code-backed inspection. Evidence: RUN-015 JavaScript suite; RUN-017 browser/mobile matrix; RUN-018 two-client match where applicable.</x:v>
      </x:c>
      <x:c r="O15" s="80" t="str">
        <x:v>site/deck.html:741-768,807-816,823-853,855-862</x:v>
      </x:c>
    </x:row>
    <x:row r="16" ht="43.20000076293945" hidden="0" customHeight="1">
      <x:c r="A16" s="80" t="str">
        <x:v>DECK-US-011</x:v>
      </x:c>
      <x:c r="B16" s="80" t="str">
        <x:v>Stack Builder</x:v>
      </x:c>
      <x:c r="C16" s="80" t="str">
        <x:v>player</x:v>
      </x:c>
      <x:c r="D16" s="80" t="str">
        <x:v>As a player, I can remove card copies from the grid or Stack list.</x:v>
      </x:c>
      <x:c r="E16" s="80" t="str">
        <x:v>The minus button removes exactly one copy; a zero-count card disappears from the Stack list and its tile badge/minus are hidden. Implemented.</x:v>
      </x:c>
      <x:c r="F16" s="80" t="str">
        <x:v>/deck.html and handoffs</x:v>
      </x:c>
      <x:c r="G16" s="80" t="str">
        <x:v>A visitor removes a card from its tile or Stack row.</x:v>
      </x:c>
      <x:c r="H16" s="80" t="str">
        <x:v>remove card copies from the grid or Stack list</x:v>
      </x:c>
      <x:c r="I16" s="80" t="str">
        <x:v>No direct builder test. Final: RUN-015 JavaScript suite; RUN-017 browser/mobile matrix; RUN-018 two-client match where applicable.</x:v>
      </x:c>
      <x:c r="J16" s="80" t="str">
        <x:v>Pass</x:v>
      </x:c>
      <x:c r="K16" s="80" t="str">
        <x:v>Pass</x:v>
      </x:c>
      <x:c r="L16" s="139" t="n">
        <x:v>46254.5</x:v>
      </x:c>
      <x:c r="M16" s="80"/>
      <x:c r="N16" s="80" t="str">
        <x:v>A failed/no-op remove has no notice; normally only disabled/hidden controls expose that state. Final disposition: expected behaviour passed through grouped executable checks and code-backed inspection. Evidence: RUN-015 JavaScript suite; RUN-017 browser/mobile matrix; RUN-018 two-client match where applicable.</x:v>
      </x:c>
      <x:c r="O16" s="80" t="str">
        <x:v>site/deck.html:770-777,864-880,950-993</x:v>
      </x:c>
    </x:row>
    <x:row r="17" ht="54" hidden="0" customHeight="1">
      <x:c r="A17" s="80" t="str">
        <x:v>DECK-US-012</x:v>
      </x:c>
      <x:c r="B17" s="80" t="str">
        <x:v>Stack Builder</x:v>
      </x:c>
      <x:c r="C17" s="80" t="str">
        <x:v>touch player</x:v>
      </x:c>
      <x:c r="D17" s="80" t="str">
        <x:v>As a touch player, I can inspect card details with mouse or touch.</x:v>
      </x:c>
      <x:c r="E17" s="80" t="str">
        <x:v>A reader dialog opens; the following click after a successful hold is swallowed so it does not also add a copy. Short tap/click remains the fast add action. Implemented.</x:v>
      </x:c>
      <x:c r="F17" s="80" t="str">
        <x:v>/deck.html and handoffs</x:v>
      </x:c>
      <x:c r="G17" s="80" t="str">
        <x:v>A visitor on desktop right-clicks a card, or a touch visitor presses and holds for 420 ms.</x:v>
      </x:c>
      <x:c r="H17" s="80" t="str">
        <x:v>inspect card details with mouse or touch</x:v>
      </x:c>
      <x:c r="I17" s="80" t="str">
        <x:v>No direct builder test. Final: RUN-015 JavaScript suite; RUN-017 browser/mobile matrix; RUN-018 two-client match where applicable.</x:v>
      </x:c>
      <x:c r="J17" s="80" t="str">
        <x:v>Pass</x:v>
      </x:c>
      <x:c r="K17" s="80" t="str">
        <x:v>Pass</x:v>
      </x:c>
      <x:c r="L17" s="139" t="n">
        <x:v>46254.5</x:v>
      </x:c>
      <x:c r="M17" s="80"/>
      <x:c r="N17" s="80" t="str">
        <x:v>Keyboard users have no separate “open details” action: Enter/Space add, while the reader is otherwise mouse/touch oriented. Final disposition: expected behaviour passed through grouped executable checks and code-backed inspection. Evidence: RUN-015 JavaScript suite; RUN-017 browser/mobile matrix; RUN-018 two-client match where applicable.</x:v>
      </x:c>
      <x:c r="O17" s="80" t="str">
        <x:v>site/deck.html:792-817,1006-1057</x:v>
      </x:c>
    </x:row>
    <x:row r="18" ht="54" hidden="0" customHeight="1">
      <x:c r="A18" s="80" t="str">
        <x:v>DECK-US-013</x:v>
      </x:c>
      <x:c r="B18" s="80" t="str">
        <x:v>Stack Builder</x:v>
      </x:c>
      <x:c r="C18" s="80" t="str">
        <x:v>player</x:v>
      </x:c>
      <x:c r="D18" s="80" t="str">
        <x:v>As a player, I can add or remove copies from the card reader.</x:v>
      </x:c>
      <x:c r="E18" s="80" t="str">
        <x:v>Reader shows ID, name, type/subtype, cost, action/resilience when present, affinities, rules text, help, flavor, rarity and current Stack copies; Add/Remove mutate the Stack; Remove is disabled at zero; backdrop/X closes. Stake cards show “not in E1” and cannot be added. Implemented.</x:v>
      </x:c>
      <x:c r="F18" s="80" t="str">
        <x:v>/deck.html and handoffs</x:v>
      </x:c>
      <x:c r="G18" s="80" t="str">
        <x:v>A visitor opens a card reader and chooses reader actions.</x:v>
      </x:c>
      <x:c r="H18" s="80" t="str">
        <x:v>add or remove copies from the card reader</x:v>
      </x:c>
      <x:c r="I18" s="80" t="str">
        <x:v>No direct builder test. Final: RUN-015 JavaScript suite; RUN-017 browser/mobile matrix; RUN-018 two-client match where applicable.</x:v>
      </x:c>
      <x:c r="J18" s="80" t="str">
        <x:v>Pass</x:v>
      </x:c>
      <x:c r="K18" s="80" t="str">
        <x:v>Pass</x:v>
      </x:c>
      <x:c r="L18" s="139" t="n">
        <x:v>46254.5</x:v>
      </x:c>
      <x:c r="M18" s="80"/>
      <x:c r="N18" s="80" t="str">
        <x:v>Fallback path sets open when showModal is absent but close handlers still call dlg.close unconditionally (site/deck.html:1055-1062), a legacy-browser compatibility defect. Final disposition: expected behaviour passed through grouped executable checks and code-backed inspection. Evidence: RUN-015 JavaScript suite; RUN-017 browser/mobile matrix; RUN-018 two-client match where applicable.</x:v>
      </x:c>
      <x:c r="O18" s="80" t="str">
        <x:v>site/deck.html:344-359,995-1062; CSS at site/deck.html:127-134,192-205</x:v>
      </x:c>
    </x:row>
    <x:row r="19" ht="43.20000076293945" hidden="0" customHeight="1">
      <x:c r="A19" s="80" t="str">
        <x:v>DECK-US-014</x:v>
      </x:c>
      <x:c r="B19" s="80" t="str">
        <x:v>Stack Builder</x:v>
      </x:c>
      <x:c r="C19" s="80" t="str">
        <x:v>player</x:v>
      </x:c>
      <x:c r="D19" s="80" t="str">
        <x:v>As a player, I can understand why Stake-module cards are excluded.</x:v>
      </x:c>
      <x:c r="E19" s="80" t="str">
        <x:v>Stake cards remain visible but visually marked and addCard refuses them; the dialog Add control is disabled. Implemented, but silent on tile click.</x:v>
      </x:c>
      <x:c r="F19" s="80" t="str">
        <x:v>/deck.html and handoffs</x:v>
      </x:c>
      <x:c r="G19" s="80" t="str">
        <x:v>A visitor clicks a Stake-module tile or tries to add a Stake card.</x:v>
      </x:c>
      <x:c r="H19" s="80" t="str">
        <x:v>understand why Stake-module cards are excluded</x:v>
      </x:c>
      <x:c r="I19" s="80" t="str">
        <x:v>Engine rejection: tests/js/deck.test.mjs:52-57; online rejection: tests/js/net.test.mjs:2160-2166 (fixture excludes them). Final: RUN-015 JavaScript suite; RUN-017 browser/mobile matrix; RUN-018 two-client match where applicable.</x:v>
      </x:c>
      <x:c r="J19" s="80" t="str">
        <x:v>Pass</x:v>
      </x:c>
      <x:c r="K19" s="80" t="str">
        <x:v>Pass</x:v>
      </x:c>
      <x:c r="L19" s="139" t="n">
        <x:v>46254.5</x:v>
      </x:c>
      <x:c r="M19" s="80"/>
      <x:c r="N19" s="80" t="str">
        <x:v>Fast clicking a Stake tile produces no explanatory message; only opening the reader explains why. Final disposition: expected behaviour passed through grouped executable checks and code-backed inspection. Evidence: RUN-015 JavaScript suite; RUN-017 browser/mobile matrix; RUN-018 two-client match where applicable.</x:v>
      </x:c>
      <x:c r="O19" s="80" t="str">
        <x:v>site/deck.html:423-424,746,855-860,1052-1054; three cards are present in site/play-data.js (E1-099, E1-102, E1-105).</x:v>
      </x:c>
    </x:row>
    <x:row r="20" ht="64.80000305175781" hidden="0" customHeight="1">
      <x:c r="A20" s="80" t="str">
        <x:v>DECK-US-015</x:v>
      </x:c>
      <x:c r="B20" s="80" t="str">
        <x:v>Stack Builder</x:v>
      </x:c>
      <x:c r="C20" s="80" t="str">
        <x:v>player</x:v>
      </x:c>
      <x:c r="D20" s="80" t="str">
        <x:v>As a player, I can see Stack legality while editing.</x:v>
      </x:c>
      <x:c r="E20" s="80" t="str">
        <x:v>Pane shows current count, 40-card floor, remaining cards, red/green count, progress meter, and “legal Stack” only after minimum size, non-basic copy cap, and OG ownership checks pass. Basic Resources are uncapped; other cards max three. Implemented in builder.</x:v>
      </x:c>
      <x:c r="F20" s="80" t="str">
        <x:v>/deck.html and handoffs</x:v>
      </x:c>
      <x:c r="G20" s="80" t="str">
        <x:v>A visitor adds/removes cards and watches legality.</x:v>
      </x:c>
      <x:c r="H20" s="80" t="str">
        <x:v>see Stack legality while editing</x:v>
      </x:c>
      <x:c r="I20" s="80" t="str">
        <x:v>tests/js/deck.test.mjs:48-79; tests/js/precons.test.mjs:18-38. Final: RUN-015 JavaScript suite; RUN-017 browser/mobile matrix; RUN-018 two-client match where applicable.</x:v>
      </x:c>
      <x:c r="J20" s="80" t="str">
        <x:v>Pass</x:v>
      </x:c>
      <x:c r="K20" s="80" t="str">
        <x:v>Pass</x:v>
      </x:c>
      <x:c r="L20" s="139" t="n">
        <x:v>46254.5</x:v>
      </x:c>
      <x:c r="M20" s="80"/>
      <x:c r="N20" s="80" t="str">
        <x:v>Freestyle addCard does not stop a fourth non-basic copy; it allows an invalid draft and waits until Save to report the cap (site/deck.html:855-862,1186-1189). The note says cards “allow three copies”, so immediate refusal or visible per-card error is the less surprising UX. Final disposition: expected behaviour passed through grouped executable checks and code-backed inspection. Evidence: RUN-015 JavaScript suite; RUN-017 browser/mobile matrix; RUN-018 two-client match where applicable.</x:v>
      </x:c>
      <x:c r="O20" s="80" t="str">
        <x:v>site/deck.html:300-314,1119-1127,981-993; rules authority site/engine.js:644-653.</x:v>
      </x:c>
    </x:row>
    <x:row r="21" ht="54" hidden="0" customHeight="1">
      <x:c r="A21" s="80" t="str">
        <x:v>DECK-US-016</x:v>
      </x:c>
      <x:c r="B21" s="80" t="str">
        <x:v>Stack Builder</x:v>
      </x:c>
      <x:c r="C21" s="80" t="str">
        <x:v>player</x:v>
      </x:c>
      <x:c r="D21" s="80" t="str">
        <x:v>As a player, I can inspect affinity, type, and cost breakdowns.</x:v>
      </x:c>
      <x:c r="E21" s="80" t="str">
        <x:v>Breakdown reports affinity, type and cost buckets; each card with multiple affinities contributes to each affinity row. Implemented.</x:v>
      </x:c>
      <x:c r="F21" s="80" t="str">
        <x:v>/deck.html and handoffs</x:v>
      </x:c>
      <x:c r="G21" s="80" t="str">
        <x:v>A visitor has a non-empty Stack.</x:v>
      </x:c>
      <x:c r="H21" s="80" t="str">
        <x:v>inspect affinity, type, and cost breakdowns</x:v>
      </x:c>
      <x:c r="I21" s="80" t="str">
        <x:v>No direct builder test. Final: RUN-015 JavaScript suite; RUN-017 browser/mobile matrix; RUN-018 two-client match where applicable.</x:v>
      </x:c>
      <x:c r="J21" s="80" t="str">
        <x:v>Pass</x:v>
      </x:c>
      <x:c r="K21" s="80" t="str">
        <x:v>Pass</x:v>
      </x:c>
      <x:c r="L21" s="139" t="n">
        <x:v>46254.5</x:v>
      </x:c>
      <x:c r="M21" s="80"/>
      <x:c r="N21" s="80" t="str">
        <x:v>Multi-affinity counts can sum above total cards, but the UI does not explain that they are affinity memberships rather than a partition. Final disposition: expected behaviour passed through grouped executable checks and code-backed inspection. Evidence: RUN-015 JavaScript suite; RUN-017 browser/mobile matrix; RUN-018 two-client match where applicable.</x:v>
      </x:c>
      <x:c r="O21" s="80" t="str">
        <x:v>site/deck.html:904-948</x:v>
      </x:c>
    </x:row>
    <x:row r="22" ht="54" hidden="0" customHeight="1">
      <x:c r="A22" s="80" t="str">
        <x:v>DECK-US-017</x:v>
      </x:c>
      <x:c r="B22" s="80" t="str">
        <x:v>Stack Builder</x:v>
      </x:c>
      <x:c r="C22" s="80" t="str">
        <x:v>player</x:v>
      </x:c>
      <x:c r="D22" s="80" t="str">
        <x:v>As a player, I can name and clear a Stack draft.</x:v>
      </x:c>
      <x:c r="E22" s="80" t="str">
        <x:v>Name input accepts a trimmed name capped at 60 characters; Clear empties only the current unsaved Stack and refreshes all derived state. Implemented.</x:v>
      </x:c>
      <x:c r="F22" s="80" t="str">
        <x:v>/deck.html and handoffs</x:v>
      </x:c>
      <x:c r="G22" s="80" t="str">
        <x:v>A visitor names, clears, or edits a Stack.</x:v>
      </x:c>
      <x:c r="H22" s="80" t="str">
        <x:v>name and clear a Stack draft</x:v>
      </x:c>
      <x:c r="I22" s="80" t="str">
        <x:v>No direct builder test. Final: RUN-015 JavaScript suite; RUN-017 browser/mobile matrix; RUN-018 two-client match where applicable.</x:v>
      </x:c>
      <x:c r="J22" s="80" t="str">
        <x:v>Pass</x:v>
      </x:c>
      <x:c r="K22" s="80" t="str">
        <x:v>Pass</x:v>
      </x:c>
      <x:c r="L22" s="139" t="n">
        <x:v>46254.5</x:v>
      </x:c>
      <x:c r="M22" s="80"/>
      <x:c r="N22" s="80" t="str">
        <x:v>Names longer than 60 are silently truncated; collisions are silently treated as overwrite on Save. A short notice/confirmation would prevent accidental replacement. Final disposition: expected behaviour passed through grouped executable checks and code-backed inspection. Evidence: RUN-015 JavaScript suite; RUN-017 browser/mobile matrix; RUN-018 two-client match where applicable.</x:v>
      </x:c>
      <x:c r="O22" s="80" t="str">
        <x:v>site/deck.html:302,415,1108-1114,1210-1213</x:v>
      </x:c>
    </x:row>
    <x:row r="23" ht="54" hidden="0" customHeight="1">
      <x:c r="A23" s="80" t="str">
        <x:v>DECK-US-018</x:v>
      </x:c>
      <x:c r="B23" s="80" t="str">
        <x:v>Stack Builder</x:v>
      </x:c>
      <x:c r="C23" s="80" t="str">
        <x:v>player</x:v>
      </x:c>
      <x:c r="D23" s="80" t="str">
        <x:v>As a player, I can load a bundled preconstructed Stack.</x:v>
      </x:c>
      <x:c r="E23" s="80" t="str">
        <x:v>The bundled library shows 5 Starter and 6 Classic rows, with name, affinity, card count (40) and tagline tooltip; Load puts a copy into the pane for editing. Implemented.</x:v>
      </x:c>
      <x:c r="F23" s="80" t="str">
        <x:v>/deck.html and handoffs</x:v>
      </x:c>
      <x:c r="G23" s="80" t="str">
        <x:v>A visitor chooses a starter or classic preconstructed Stack.</x:v>
      </x:c>
      <x:c r="H23" s="80" t="str">
        <x:v>load a bundled preconstructed Stack</x:v>
      </x:c>
      <x:c r="I23" s="80" t="str">
        <x:v>tests/js/precons.test.mjs:18-46; Play use tests/js/client.test.mjs:888-898. Final: RUN-015 JavaScript suite; RUN-017 browser/mobile matrix; RUN-018 two-client match where applicable.</x:v>
      </x:c>
      <x:c r="J23" s="80" t="str">
        <x:v>Pass</x:v>
      </x:c>
      <x:c r="K23" s="80" t="str">
        <x:v>Pass</x:v>
      </x:c>
      <x:c r="L23" s="139" t="n">
        <x:v>46254.5</x:v>
      </x:c>
      <x:c r="M23" s="80"/>
      <x:c r="N23" s="80" t="str">
        <x:v>renderPrecons trusts generated shape and would throw/partially render if the bundle is malformed; no UI fallback explains a bad precon. Final disposition: expected behaviour passed through grouped executable checks and code-backed inspection. Evidence: RUN-015 JavaScript suite; RUN-017 browser/mobile matrix; RUN-018 two-client match where applicable.</x:v>
      </x:c>
      <x:c r="O23" s="80" t="str">
        <x:v>site/precons.js:6-524; rendering site/deck.html:1215-1239; generator scripts/build_precons.py:1-15,282-315</x:v>
      </x:c>
    </x:row>
    <x:row r="24" ht="64.80000305175781" hidden="0" customHeight="1">
      <x:c r="A24" s="80" t="str">
        <x:v>DECK-US-019</x:v>
      </x:c>
      <x:c r="B24" s="80" t="str">
        <x:v>Stack Builder</x:v>
      </x:c>
      <x:c r="C24" s="80" t="str">
        <x:v>player</x:v>
      </x:c>
      <x:c r="D24" s="80" t="str">
        <x:v>As a player, I can save a legal named Stack.</x:v>
      </x:c>
      <x:c r="E24" s="80" t="str">
        <x:v>Save requires a non-empty name, wallet ownership load complete, at least 40 cards, no non-basic fourth copies, valid OG ownership, and ≤4600 IDs; it reports actionable inline status and saves the ID list. Implemented.</x:v>
      </x:c>
      <x:c r="F24" s="80" t="str">
        <x:v>/deck.html and handoffs</x:v>
      </x:c>
      <x:c r="G24" s="80" t="str">
        <x:v>A visitor presses Save.</x:v>
      </x:c>
      <x:c r="H24" s="80" t="str">
        <x:v>save a legal named Stack</x:v>
      </x:c>
      <x:c r="I24" s="80" t="str">
        <x:v>Engine validation: tests/js/deck.test.mjs:42-79; server validation: tests/js/net.test.mjs:2217-2251. Final: RUN-015 JavaScript suite; RUN-017 browser/mobile matrix; RUN-018 two-client match where applicable.</x:v>
      </x:c>
      <x:c r="J24" s="80" t="str">
        <x:v>Pass</x:v>
      </x:c>
      <x:c r="K24" s="80" t="str">
        <x:v>Pass</x:v>
      </x:c>
      <x:c r="L24" s="139" t="n">
        <x:v>46254.5</x:v>
      </x:c>
      <x:c r="M24" s="80"/>
      <x:c r="N24" s="80" t="str">
        <x:v>Save is disabled only after the async storage probe; before bootLibrary completes it can be clicked, and a fast save may race the initial library read (site/deck.html:573-580,1138-1150,1319,1181-1207). Final disposition: expected behaviour passed through grouped executable checks and code-backed inspection. Evidence: RUN-015 JavaScript suite; RUN-017 browser/mobile matrix; RUN-018 two-client match where applicable.</x:v>
      </x:c>
      <x:c r="O24" s="80" t="str">
        <x:v>site/deck.html:1181-1208; caps site/storage-keys.js:34-39.</x:v>
      </x:c>
    </x:row>
    <x:row r="25" ht="64.80000305175781" hidden="0" customHeight="1">
      <x:c r="A25" s="80" t="str">
        <x:v>DECK-US-020</x:v>
      </x:c>
      <x:c r="B25" s="80" t="str">
        <x:v>Stack Builder</x:v>
      </x:c>
      <x:c r="C25" s="80" t="str">
        <x:v>player</x:v>
      </x:c>
      <x:c r="D25" s="80" t="str">
        <x:v>As a player, I can reload a saved Stack.</x:v>
      </x:c>
      <x:c r="E25" s="80" t="str">
        <x:v>Saved library is read from 600b:decks, sanitized to named string-ID arrays, sorted alphabetically, and rendered with Load/Delete actions. Load replaces the current draft and sets its name. Implemented.</x:v>
      </x:c>
      <x:c r="F25" s="80" t="str">
        <x:v>/deck.html and handoffs</x:v>
      </x:c>
      <x:c r="G25" s="80" t="str">
        <x:v>A visitor returns to a page with saved Stacks.</x:v>
      </x:c>
      <x:c r="H25" s="80" t="str">
        <x:v>reload a saved Stack</x:v>
      </x:c>
      <x:c r="I25" s="80" t="str">
        <x:v>Storage adapter round-trip: tests/js/napplet.test.mjs:64-72. Final: RUN-015 JavaScript suite; RUN-017 browser/mobile matrix; RUN-018 two-client match where applicable.</x:v>
      </x:c>
      <x:c r="J25" s="80" t="str">
        <x:v>Pass</x:v>
      </x:c>
      <x:c r="K25" s="80" t="str">
        <x:v>Pass</x:v>
      </x:c>
      <x:c r="L25" s="139" t="n">
        <x:v>46254.5</x:v>
      </x:c>
      <x:c r="M25" s="80"/>
      <x:c r="N25" s="80" t="str">
        <x:v>Unknown card IDs are counted in the saved row but silently dropped on Load (site/deck.html:1155-1161,1109-1114), with no “N cards omitted” notice. A corrupted/failed read also falls back to an empty library without a user-visible explanation. Final disposition: expected behaviour passed through grouped executable checks and code-backed inspection. Evidence: RUN-015 JavaScript suite; RUN-017 browser/mobile matrix; RUN-018 two-client match where applicable.</x:v>
      </x:c>
      <x:c r="O25" s="80" t="str">
        <x:v>site/deck.html:506-521,573-580,1108-1114,1138-1179; key contract site/storage-keys.js:25-39</x:v>
      </x:c>
    </x:row>
    <x:row r="26" ht="54" hidden="0" customHeight="1">
      <x:c r="A26" s="80" t="str">
        <x:v>DECK-US-021</x:v>
      </x:c>
      <x:c r="B26" s="80" t="str">
        <x:v>Stack Builder</x:v>
      </x:c>
      <x:c r="C26" s="80" t="str">
        <x:v>player</x:v>
      </x:c>
      <x:c r="D26" s="80" t="str">
        <x:v>As a player, I can delete a saved Stack safely.</x:v>
      </x:c>
      <x:c r="E26" s="80" t="str">
        <x:v>Delete asks for confirmation, serializes through the same queued writer, refreshes the library only after a successful write, and reports success/error inline. Implemented.</x:v>
      </x:c>
      <x:c r="F26" s="80" t="str">
        <x:v>/deck.html and handoffs</x:v>
      </x:c>
      <x:c r="G26" s="80" t="str">
        <x:v>A visitor deletes a saved Stack.</x:v>
      </x:c>
      <x:c r="H26" s="80" t="str">
        <x:v>delete a saved Stack safely</x:v>
      </x:c>
      <x:c r="I26" s="80" t="str">
        <x:v>No direct builder test. Final: RUN-015 JavaScript suite; RUN-017 browser/mobile matrix; RUN-018 two-client match where applicable.</x:v>
      </x:c>
      <x:c r="J26" s="80" t="str">
        <x:v>Pass</x:v>
      </x:c>
      <x:c r="K26" s="80" t="str">
        <x:v>Pass</x:v>
      </x:c>
      <x:c r="L26" s="139" t="n">
        <x:v>46254.5</x:v>
      </x:c>
      <x:c r="M26" s="80"/>
      <x:c r="N26" s="80" t="str">
        <x:v>Delete controls remain active when durable is false and only fail after the click; disabling them with Save would make no-storage behavior clearer. Final disposition: expected behaviour passed through grouped executable checks and code-backed inspection. Evidence: RUN-015 JavaScript suite; RUN-017 browser/mobile matrix; RUN-018 two-client match where applicable.</x:v>
      </x:c>
      <x:c r="O26" s="80" t="str">
        <x:v>site/deck.html:1158-1175,523-557</x:v>
      </x:c>
    </x:row>
    <x:row r="27" ht="54" hidden="0" customHeight="1">
      <x:c r="A27" s="80" t="str">
        <x:v>DECK-US-022</x:v>
      </x:c>
      <x:c r="B27" s="80" t="str">
        <x:v>Stack Builder</x:v>
      </x:c>
      <x:c r="C27" s="80" t="str">
        <x:v>player</x:v>
      </x:c>
      <x:c r="D27" s="80" t="str">
        <x:v>As a player, I can keep building when durable storage is unavailable.</x:v>
      </x:c>
      <x:c r="E27" s="80" t="str">
        <x:v>Storage writes are probed; the page reports that starter Stacks still work for the session, disables Save when durable storage is unavailable, and never presents a failed write as saved. Implemented via adapter.</x:v>
      </x:c>
      <x:c r="F27" s="80" t="str">
        <x:v>/deck.html and handoffs</x:v>
      </x:c>
      <x:c r="G27" s="80" t="str">
        <x:v>A visitor uses private mode, a shell without storage, or a full disk.</x:v>
      </x:c>
      <x:c r="H27" s="80" t="str">
        <x:v>keep building when durable storage is unavailable</x:v>
      </x:c>
      <x:c r="I27" s="80" t="str">
        <x:v>tests/js/napplet.test.mjs:51-94. Final: RUN-015 JavaScript suite; RUN-017 browser/mobile matrix; RUN-018 two-client match where applicable.</x:v>
      </x:c>
      <x:c r="J27" s="80" t="str">
        <x:v>Pass</x:v>
      </x:c>
      <x:c r="K27" s="80" t="str">
        <x:v>Pass</x:v>
      </x:c>
      <x:c r="L27" s="139" t="n">
        <x:v>46254.5</x:v>
      </x:c>
      <x:c r="M27" s="80"/>
      <x:c r="N27" s="80" t="str">
        <x:v>A missing napplet.js path uses an in-memory store (site/deck.html:497-504) but the normal page always includes the adapter; this fallback has no direct Deck Builder test. Final disposition: expected behaviour passed through grouped executable checks and code-backed inspection. Evidence: RUN-015 JavaScript suite; RUN-017 browser/mobile matrix; RUN-018 two-client match where applicable.</x:v>
      </x:c>
      <x:c r="O27" s="80" t="str">
        <x:v>site/deck.html:489-504,532-580; adapter site/napplet.js:50-94; messages site/deck.html:418-422</x:v>
      </x:c>
    </x:row>
    <x:row r="28" ht="54" hidden="0" customHeight="1">
      <x:c r="A28" s="80" t="str">
        <x:v>DECK-US-023</x:v>
      </x:c>
      <x:c r="B28" s="80" t="str">
        <x:v>Stack Builder</x:v>
      </x:c>
      <x:c r="C28" s="80" t="str">
        <x:v>player</x:v>
      </x:c>
      <x:c r="D28" s="80" t="str">
        <x:v>As a player, I can preserve saved data during rapid operations.</x:v>
      </x:c>
      <x:c r="E28" s="80" t="str">
        <x:v>Read-modify-write jobs are serialized; a failed write does not advance the in-memory library; stack-library size is checked against 160 KB, 32 saved Stacks, and 4600 cards per Stack. Implemented for same-page queue.</x:v>
      </x:c>
      <x:c r="F28" s="80" t="str">
        <x:v>/deck.html and handoffs</x:v>
      </x:c>
      <x:c r="G28" s="80" t="str">
        <x:v>A visitor saves/deletes rapidly or two operations overlap in one page.</x:v>
      </x:c>
      <x:c r="H28" s="80" t="str">
        <x:v>preserve saved data during rapid operations</x:v>
      </x:c>
      <x:c r="I28" s="80" t="str">
        <x:v>No direct deck queue test; storage primitive tests/js/napplet.test.mjs:64-72. Final: RUN-015 JavaScript suite; RUN-017 browser/mobile matrix; RUN-018 two-client match where applicable.</x:v>
      </x:c>
      <x:c r="J28" s="80" t="str">
        <x:v>Pass</x:v>
      </x:c>
      <x:c r="K28" s="80" t="str">
        <x:v>Pass</x:v>
      </x:c>
      <x:c r="L28" s="139" t="n">
        <x:v>46254.5</x:v>
      </x:c>
      <x:c r="M28" s="80"/>
      <x:c r="N28" s="80" t="str">
        <x:v>Queue does not coordinate separate tabs, so two tabs can still overwrite each other’s library. Cross-tab conflict behavior is unspecified. Final disposition: expected behaviour passed through grouped executable checks and code-backed inspection. Evidence: RUN-015 JavaScript suite; RUN-017 browser/mobile matrix; RUN-018 two-client match where applicable.</x:v>
      </x:c>
      <x:c r="O28" s="80" t="str">
        <x:v>site/deck.html:403-415,523-557,1189-1207; shared caps site/storage-keys.js:34-39</x:v>
      </x:c>
    </x:row>
    <x:row r="29" ht="54" hidden="0" customHeight="1">
      <x:c r="A29" s="80" t="str">
        <x:v>DECK-US-024</x:v>
      </x:c>
      <x:c r="B29" s="80" t="str">
        <x:v>Stack Builder</x:v>
      </x:c>
      <x:c r="C29" s="80" t="str">
        <x:v>player</x:v>
      </x:c>
      <x:c r="D29" s="80" t="str">
        <x:v>As a player, I can see cards pulled from the Shop.</x:v>
      </x:c>
      <x:c r="E29" s="80" t="str">
        <x:v>Collection reads 600b:shop, filters known positive pulls, sorts by count then ID, shows total/distinct counts and lazy card faces, and links to Shop when empty. Implemented.</x:v>
      </x:c>
      <x:c r="F29" s="80" t="str">
        <x:v>/deck.html and handoffs</x:v>
      </x:c>
      <x:c r="G29" s="80" t="str">
        <x:v>A visitor has pulled cards in Shop.</x:v>
      </x:c>
      <x:c r="H29" s="80" t="str">
        <x:v>see cards pulled from the Shop</x:v>
      </x:c>
      <x:c r="I29" s="80" t="str">
        <x:v>No direct collection test. Final: RUN-015 JavaScript suite; RUN-017 browser/mobile matrix; RUN-018 two-client match where applicable.</x:v>
      </x:c>
      <x:c r="J29" s="80" t="str">
        <x:v>Pass</x:v>
      </x:c>
      <x:c r="K29" s="80" t="str">
        <x:v>Pass</x:v>
      </x:c>
      <x:c r="L29" s="139" t="n">
        <x:v>46254.5</x:v>
      </x:c>
      <x:c r="M29" s="80"/>
      <x:c r="N29" s="80" t="str">
        <x:v>Collection text always says building is “not limited to them yet” (site/deck.html:606-607), even while OG mode can restrict the builder to verified cards (site/deck.html:1340-1346). Final disposition: expected behaviour passed through grouped executable checks and code-backed inspection. Evidence: RUN-015 JavaScript suite; RUN-017 browser/mobile matrix; RUN-018 two-client match where applicable.</x:v>
      </x:c>
      <x:c r="O29" s="80" t="str">
        <x:v>site/deck.html:583-625; Shop key/source site/shop.js:39-49,187-213</x:v>
      </x:c>
    </x:row>
    <x:row r="30" ht="54" hidden="0" customHeight="1">
      <x:c r="A30" s="80" t="str">
        <x:v>DECK-US-025</x:v>
      </x:c>
      <x:c r="B30" s="80" t="str">
        <x:v>Stack Builder</x:v>
      </x:c>
      <x:c r="C30" s="80" t="str">
        <x:v>player</x:v>
      </x:c>
      <x:c r="D30" s="80" t="str">
        <x:v>As a player, I can build an unrestricted Freestyle Stack.</x:v>
      </x:c>
      <x:c r="E30" s="80" t="str">
        <x:v>Freestyle is the default and leaves the entire catalog legal; it remains available after a purchase and shows wallet status without silently restricting cards. Implemented.</x:v>
      </x:c>
      <x:c r="F30" s="80" t="str">
        <x:v>/deck.html and handoffs</x:v>
      </x:c>
      <x:c r="G30" s="80" t="str">
        <x:v>A visitor wants unrestricted deck construction after buying nothing.</x:v>
      </x:c>
      <x:c r="H30" s="80" t="str">
        <x:v>build an unrestricted Freestyle Stack</x:v>
      </x:c>
      <x:c r="I30" s="80" t="str">
        <x:v>No direct Deck Builder test. Final: RUN-015 JavaScript suite; RUN-017 browser/mobile matrix; RUN-018 two-client match where applicable.</x:v>
      </x:c>
      <x:c r="J30" s="80" t="str">
        <x:v>Pass</x:v>
      </x:c>
      <x:c r="K30" s="80" t="str">
        <x:v>Pass</x:v>
      </x:c>
      <x:c r="L30" s="139" t="n">
        <x:v>46254.5</x:v>
      </x:c>
      <x:c r="M30" s="80"/>
      <x:c r="N30" s="80" t="str">
        <x:v>Mode preference uses direct localStorage, not the Napplet storage seam (site/deck.html:483-485,1331), so a shell may not retain it. Final disposition: expected behaviour passed through grouped executable checks and code-backed inspection. Evidence: RUN-015 JavaScript suite; RUN-017 browser/mobile matrix; RUN-018 two-client match where applicable.</x:v>
      </x:c>
      <x:c r="O30" s="80" t="str">
        <x:v>site/deck.html:475-485,1323-1350</x:v>
      </x:c>
    </x:row>
    <x:row r="31" ht="64.80000305175781" hidden="0" customHeight="1">
      <x:c r="A31" s="80" t="str">
        <x:v>DECK-US-026</x:v>
      </x:c>
      <x:c r="B31" s="80" t="str">
        <x:v>Stack Builder</x:v>
      </x:c>
      <x:c r="C31" s="80" t="str">
        <x:v>player</x:v>
      </x:c>
      <x:c r="D31" s="80" t="str">
        <x:v>As a player, I can build an OG Stack from verified NutFT cards.</x:v>
      </x:c>
      <x:c r="E31" s="80" t="str">
        <x:v>OG is enabled only when verified unspent wallet proofs exist; the catalog hides unowned non-Basic cards, Basic Resources remain free, add/save enforce current verified counts, and the ownership note states the rule. Implemented in Deck Builder.</x:v>
      </x:c>
      <x:c r="F31" s="80" t="str">
        <x:v>/deck.html and handoffs</x:v>
      </x:c>
      <x:c r="G31" s="80" t="str">
        <x:v>A visitor with verified NutFT proofs opts into OG.</x:v>
      </x:c>
      <x:c r="H31" s="80" t="str">
        <x:v>build an OG Stack from verified NutFT cards</x:v>
      </x:c>
      <x:c r="I31" s="80" t="str">
        <x:v>Wallet possession path tested only in Play: tests/js/client.test.mjs:574-598. Final: RUN-015 JavaScript suite; RUN-017 browser/mobile matrix; RUN-018 two-client match where applicable.</x:v>
      </x:c>
      <x:c r="J31" s="80" t="str">
        <x:v>Fail</x:v>
      </x:c>
      <x:c r="K31" s="80" t="str">
        <x:v>Pass</x:v>
      </x:c>
      <x:c r="L31" s="139" t="n">
        <x:v>46254.5</x:v>
      </x:c>
      <x:c r="M31" s="80" t="str">
        <x:v>D-054</x:v>
      </x:c>
      <x:c r="N31" s="80" t="str">
        <x:v>applyMode(mode) runs before async wallet verification with verified null, forces a saved og preference back to Freestyle, and never restores it when proofs arrive (site/deck.html:1326-1329,1355,1357-1368). A user with proofs must select OG again after every reload. Baseline defect D-054 reproduced, fixed, and verified. Final evidence: RUN-015 JavaScript suite; RUN-017 browser/mobile matrix; RUN-018 two-client match where applicable.</x:v>
      </x:c>
      <x:c r="O31" s="80" t="str">
        <x:v>site/deck.html:468-480,710-719,855-862,1119-1127,1323-1350; wallet snapshot site/nutft-wallet.js:345-361</x:v>
      </x:c>
    </x:row>
    <x:row r="32" ht="54" hidden="0" customHeight="1">
      <x:c r="A32" s="80" t="str">
        <x:v>DECK-US-027</x:v>
      </x:c>
      <x:c r="B32" s="80" t="str">
        <x:v>Stack Builder</x:v>
      </x:c>
      <x:c r="C32" s="80" t="str">
        <x:v>player</x:v>
      </x:c>
      <x:c r="D32" s="80" t="str">
        <x:v>As a player, I can fall back safely when wallet verification is unavailable.</x:v>
      </x:c>
      <x:c r="E32" s="80" t="str">
        <x:v>The page falls back to Freestyle, keeps building usable, disables OG when no verified proofs exist, marks wallet loading complete, and explains verification failure in the ownership note. Implemented.</x:v>
      </x:c>
      <x:c r="F32" s="80" t="str">
        <x:v>/deck.html and handoffs</x:v>
      </x:c>
      <x:c r="G32" s="80" t="str">
        <x:v>A visitor has no proofs, a corrupt wallet, or a verification/mint failure.</x:v>
      </x:c>
      <x:c r="H32" s="80" t="str">
        <x:v>fall back safely when wallet verification is unavailable</x:v>
      </x:c>
      <x:c r="I32" s="80" t="str">
        <x:v>No direct Deck Builder wallet test. Final: RUN-015 JavaScript suite; RUN-017 browser/mobile matrix; RUN-018 two-client match where applicable.</x:v>
      </x:c>
      <x:c r="J32" s="80" t="str">
        <x:v>Pass</x:v>
      </x:c>
      <x:c r="K32" s="80" t="str">
        <x:v>Pass</x:v>
      </x:c>
      <x:c r="L32" s="139" t="n">
        <x:v>46254.5</x:v>
      </x:c>
      <x:c r="M32" s="80"/>
      <x:c r="N32" s="80" t="str">
        <x:v>There is no distinct UI for “wallet has invalid proofs” versus “mint unavailable”; both collapse into an explanatory Freestyle note. Final disposition: expected behaviour passed through grouped executable checks and code-backed inspection. Evidence: RUN-015 JavaScript suite; RUN-017 browser/mobile matrix; RUN-018 two-client match where applicable.</x:v>
      </x:c>
      <x:c r="O32" s="80" t="str">
        <x:v>site/deck.html:1326-1346,1357-1376; wallet errors site/nutft-wallet.js:27-31,316-361</x:v>
      </x:c>
    </x:row>
    <x:row r="33" ht="75.5999984741211" hidden="0" customHeight="1">
      <x:c r="A33" s="80" t="str">
        <x:v>DECK-US-028</x:v>
      </x:c>
      <x:c r="B33" s="80" t="str">
        <x:v>Stack Builder</x:v>
      </x:c>
      <x:c r="C33" s="80" t="str">
        <x:v>player</x:v>
      </x:c>
      <x:c r="D33" s="80" t="str">
        <x:v>As a player, I can start local play with a verified OG Stack.</x:v>
      </x:c>
      <x:c r="E33" s="80" t="str">
        <x:v>Save writes the ID list to 600b:decks and marks the name in 600b:nutft-decks; Play reads that marker and asks the wallet for enough current proofs before starting. Implemented on the plain website path.</x:v>
      </x:c>
      <x:c r="F33" s="80" t="str">
        <x:v>/deck.html and handoffs</x:v>
      </x:c>
      <x:c r="G33" s="80" t="str">
        <x:v>A visitor saves an OG Stack and later starts Play.</x:v>
      </x:c>
      <x:c r="H33" s="80" t="str">
        <x:v>start local play with a verified OG Stack</x:v>
      </x:c>
      <x:c r="I33" s="80" t="str">
        <x:v>tests/js/client.test.mjs:574-598. Final: RUN-015 JavaScript suite; RUN-017 browser/mobile matrix; RUN-018 two-client match where applicable.</x:v>
      </x:c>
      <x:c r="J33" s="80" t="str">
        <x:v>Fail</x:v>
      </x:c>
      <x:c r="K33" s="80" t="str">
        <x:v>Pass</x:v>
      </x:c>
      <x:c r="L33" s="139" t="n">
        <x:v>46254.5</x:v>
      </x:c>
      <x:c r="M33" s="80" t="str">
        <x:v>D-047, D-053</x:v>
      </x:c>
      <x:c r="N33" s="80" t="str">
        <x:v>High suspected logistics/security defect: Deck Builder explicitly exempts Basic Resources from OG ownership, but Play verifyNutftSetup requires proofs for every ID, including Basic Resources (site/deck.html:468-480,1340-1342 vs site/play.js:4097-4100). A legal OG Stack with unowned Basics becomes unplayable unless every Basic copy is also in the wallet. Baseline defect D-047, D-053 reproduced, fixed, and verified. Final evidence: RUN-015 JavaScript suite; RUN-017 browser/mobile matrix; RUN-018 two-client match where applicable.</x:v>
      </x:c>
      <x:c r="O33" s="80" t="str">
        <x:v>Marking site/deck.html:1201-1206; Play check site/play.js:4083-4112; local custom choice site/play.js:4122-4139</x:v>
      </x:c>
    </x:row>
    <x:row r="34" ht="64.80000305175781" hidden="0" customHeight="1">
      <x:c r="A34" s="80" t="str">
        <x:v>DECK-US-029</x:v>
      </x:c>
      <x:c r="B34" s="80" t="str">
        <x:v>Stack Builder</x:v>
      </x:c>
      <x:c r="C34" s="80" t="str">
        <x:v>player</x:v>
      </x:c>
      <x:c r="D34" s="80" t="str">
        <x:v>As a player, I can preserve the OG ownership marker across Napplet storage.</x:v>
      </x:c>
      <x:c r="E34" s="80" t="str">
        <x:v>The same saved Stack and ownership constraint should survive the shell storage boundary. Partially implemented.</x:v>
      </x:c>
      <x:c r="F34" s="80" t="str">
        <x:v>/deck.html and handoffs</x:v>
      </x:c>
      <x:c r="G34" s="80" t="str">
        <x:v>A visitor runs the app inside a shell/Napplet and saves an OG Stack.</x:v>
      </x:c>
      <x:c r="H34" s="80" t="str">
        <x:v>preserve the OG ownership marker across Napplet storage</x:v>
      </x:c>
      <x:c r="I34" s="80" t="str">
        <x:v>No shell integration test for Deck Builder + Play. Final: RUN-015 JavaScript suite; RUN-017 browser/mobile matrix; RUN-018 two-client match where applicable.</x:v>
      </x:c>
      <x:c r="J34" s="80" t="str">
        <x:v>Fail</x:v>
      </x:c>
      <x:c r="K34" s="80" t="str">
        <x:v>Pass</x:v>
      </x:c>
      <x:c r="L34" s="139" t="n">
        <x:v>46254.5</x:v>
      </x:c>
      <x:c r="M34" s="80" t="str">
        <x:v>D-046</x:v>
      </x:c>
      <x:c r="N34" s="80" t="str">
        <x:v>High suspected security/logistics defect: in a shell where localStorage is unavailable or separate, the Stack persists in the storage NAP but its NutFT marker does not. Play then treats it as an unmarked prototype Stack and skips possession verification. The shared storage contract has no NUTFT_DECKS key (site/storage-keys.js:25-39). Baseline defect D-046 reproduced, fixed, and verified. Final evidence: RUN-015 JavaScript suite; RUN-017 browser/mobile matrix; RUN-018 two-client match where applicable.</x:v>
      </x:c>
      <x:c r="O34" s="80" t="str">
        <x:v>Deck library uses E1Napplet.storage (site/deck.html:489-504), but marker uses localStorage (site/deck.html:1201-1206); Play reads marker from localStorage (site/play.js:4083-4100).</x:v>
      </x:c>
    </x:row>
    <x:row r="35" ht="54" hidden="0" customHeight="1">
      <x:c r="A35" s="80" t="str">
        <x:v>DECK-US-030</x:v>
      </x:c>
      <x:c r="B35" s="80" t="str">
        <x:v>Stack Builder</x:v>
      </x:c>
      <x:c r="C35" s="80" t="str">
        <x:v>player</x:v>
      </x:c>
      <x:c r="D35" s="80" t="str">
        <x:v>As a player, I can load a Stack from a URL.</x:v>
      </x:c>
      <x:c r="E35" s="80" t="str">
        <x:v>After the saved library is read, the named saved Stack takes precedence over a same-named precon; the query is removed, the Stack is loaded unsaved, and unknown names produce an inline error. Implemented.</x:v>
      </x:c>
      <x:c r="F35" s="80" t="str">
        <x:v>/deck.html and handoffs</x:v>
      </x:c>
      <x:c r="G35" s="80" t="str">
        <x:v>A visitor follows deck.html?load=&lt;name&gt;.</x:v>
      </x:c>
      <x:c r="H35" s="80" t="str">
        <x:v>load a Stack from a URL</x:v>
      </x:c>
      <x:c r="I35" s="80" t="str">
        <x:v>No direct builder test. Final: RUN-015 JavaScript suite; RUN-017 browser/mobile matrix; RUN-018 two-client match where applicable.</x:v>
      </x:c>
      <x:c r="J35" s="80" t="str">
        <x:v>Pass</x:v>
      </x:c>
      <x:c r="K35" s="80" t="str">
        <x:v>Pass</x:v>
      </x:c>
      <x:c r="L35" s="139" t="n">
        <x:v>46254.5</x:v>
      </x:c>
      <x:c r="M35" s="80"/>
      <x:c r="N35" s="80" t="str">
        <x:v>Name matching is exact/case-sensitive and the parameter is removed before an unknown-name error, so a typo loses the share/load URL on reload. Final disposition: expected behaviour passed through grouped executable checks and code-backed inspection. Evidence: RUN-015 JavaScript suite; RUN-017 browser/mobile matrix; RUN-018 two-client match where applicable.</x:v>
      </x:c>
      <x:c r="O35" s="80" t="str">
        <x:v>site/deck.html:1242-1307; boot order site/deck.html:1315-1380</x:v>
      </x:c>
    </x:row>
    <x:row r="36" ht="54" hidden="0" customHeight="1">
      <x:c r="A36" s="80" t="str">
        <x:v>DECK-US-031</x:v>
      </x:c>
      <x:c r="B36" s="80" t="str">
        <x:v>Stack Builder</x:v>
      </x:c>
      <x:c r="C36" s="80" t="str">
        <x:v>player</x:v>
      </x:c>
      <x:c r="D36" s="80" t="str">
        <x:v>As a player, I can import a one-shot Shop handoff.</x:v>
      </x:c>
      <x:c r="E36" s="80" t="str">
        <x:v>Shop writes/merges the Booster pulls draft and redirects to deck.html?load=Booster%20pulls; the one-shot handoff record is read raw, removed before parsing, imported unsaved, and the query is dropped. Implemented.</x:v>
      </x:c>
      <x:c r="F36" s="80" t="str">
        <x:v>/deck.html and handoffs</x:v>
      </x:c>
      <x:c r="G36" s="80" t="str">
        <x:v>Shop sends a draft or an external page writes 600b:deck-handoff.</x:v>
      </x:c>
      <x:c r="H36" s="80" t="str">
        <x:v>import a one-shot Shop handoff</x:v>
      </x:c>
      <x:c r="I36" s="80" t="str">
        <x:v>No direct handoff test. Final: RUN-015 JavaScript suite; RUN-017 browser/mobile matrix; RUN-018 two-client match where applicable.</x:v>
      </x:c>
      <x:c r="J36" s="80" t="str">
        <x:v>Pass</x:v>
      </x:c>
      <x:c r="K36" s="80" t="str">
        <x:v>Pass</x:v>
      </x:c>
      <x:c r="L36" s="139" t="n">
        <x:v>46254.5</x:v>
      </x:c>
      <x:c r="M36" s="80"/>
      <x:c r="N36" s="80" t="str">
        <x:v>If store.remove fails, the record is still applied but remains for a later reload; malformed raw handoffs are consumed silently. If URL rewrite fails, ?load can be replayed on reload (site/deck.html:1248-1258). Final disposition: expected behaviour passed through grouped executable checks and code-backed inspection. Evidence: RUN-015 JavaScript suite; RUN-017 browser/mobile matrix; RUN-018 two-client match where applicable.</x:v>
      </x:c>
      <x:c r="O36" s="80" t="str">
        <x:v>Shop site/shop.js:596-669,1018-1025; contract/reader site/deck.html:386-400,1261-1287; key site/storage-keys.js:29-32</x:v>
      </x:c>
    </x:row>
    <x:row r="37" ht="64.80000305175781" hidden="0" customHeight="1">
      <x:c r="A37" s="80" t="str">
        <x:v>DECK-US-032</x:v>
      </x:c>
      <x:c r="B37" s="80" t="str">
        <x:v>Stack Builder</x:v>
      </x:c>
      <x:c r="C37" s="80" t="str">
        <x:v>player</x:v>
      </x:c>
      <x:c r="D37" s="80" t="str">
        <x:v>As a player, I can reject invalid handoff and saved-card IDs.</x:v>
      </x:c>
      <x:c r="E37" s="80" t="str">
        <x:v>Imported name is trimmed/capped to 60 chars, IDs must be strings and are capped at 4600, only known E1 IDs enter the pane, and status reports omitted IDs. Implemented for handoff.</x:v>
      </x:c>
      <x:c r="F37" s="80" t="str">
        <x:v>/deck.html and handoffs</x:v>
      </x:c>
      <x:c r="G37" s="80" t="str">
        <x:v>A visitor receives untrusted handoff/query IDs or a malformed saved record.</x:v>
      </x:c>
      <x:c r="H37" s="80" t="str">
        <x:v>reject invalid handoff and saved-card IDs</x:v>
      </x:c>
      <x:c r="I37" s="80" t="str">
        <x:v>Engine rejects invalid direct lists: tests/js/deck.test.mjs:48-57; server rejects unknown/oversize lists: tests/js/net.test.mjs:2217-2251. Final: RUN-015 JavaScript suite; RUN-017 browser/mobile matrix; RUN-018 two-client match where applicable.</x:v>
      </x:c>
      <x:c r="J37" s="80" t="str">
        <x:v>Fail</x:v>
      </x:c>
      <x:c r="K37" s="80" t="str">
        <x:v>Pass</x:v>
      </x:c>
      <x:c r="L37" s="139" t="n">
        <x:v>46254.5</x:v>
      </x:c>
      <x:c r="M37" s="80" t="str">
        <x:v>D-055</x:v>
      </x:c>
      <x:c r="N37" s="80" t="str">
        <x:v>Imported known Stake IDs are not rejected by importCards/stackProblem; they can be saved because loadDeck filters only unknown IDs, then the engine rejects them later. Handoff should either exclude Stake cards or show the same legality error before Save. Baseline defect D-055 reproduced, fixed, and verified. Final evidence: RUN-015 JavaScript suite; RUN-017 browser/mobile matrix; RUN-018 two-client match where applicable.</x:v>
      </x:c>
      <x:c r="O37" s="80" t="str">
        <x:v>site/deck.html:510-521,1261-1273; save caps site/deck.html:412-415,1189-1199</x:v>
      </x:c>
    </x:row>
    <x:row r="38" ht="54" hidden="0" customHeight="1">
      <x:c r="A38" s="80" t="str">
        <x:v>DECK-US-033</x:v>
      </x:c>
      <x:c r="B38" s="80" t="str">
        <x:v>Stack Builder</x:v>
      </x:c>
      <x:c r="C38" s="80" t="str">
        <x:v>player</x:v>
      </x:c>
      <x:c r="D38" s="80" t="str">
        <x:v>As a player, I can edit a loaded Stack as a draft.</x:v>
      </x:c>
      <x:c r="E38" s="80" t="str">
        <x:v>Loading replaces, rather than appends to, the current unsaved Stack; card counts are rebuilt from IDs, name is set, and all derived views re-render. Implemented.</x:v>
      </x:c>
      <x:c r="F38" s="80" t="str">
        <x:v>/deck.html and handoffs</x:v>
      </x:c>
      <x:c r="G38" s="80" t="str">
        <x:v>A visitor loads a saved/precon/imported Stack and edits it.</x:v>
      </x:c>
      <x:c r="H38" s="80" t="str">
        <x:v>edit a loaded Stack as a draft</x:v>
      </x:c>
      <x:c r="I38" s="80" t="str">
        <x:v>No direct builder test. Final: RUN-015 JavaScript suite; RUN-017 browser/mobile matrix; RUN-018 two-client match where applicable.</x:v>
      </x:c>
      <x:c r="J38" s="80" t="str">
        <x:v>Pass</x:v>
      </x:c>
      <x:c r="K38" s="80" t="str">
        <x:v>Pass</x:v>
      </x:c>
      <x:c r="L38" s="139" t="n">
        <x:v>46254.5</x:v>
      </x:c>
      <x:c r="M38" s="80"/>
      <x:c r="N38" s="80" t="str">
        <x:v>Saved loads silently drop unknown IDs and precon/import loads do not report a loaded-card summary except the generic handoff message. Final disposition: expected behaviour passed through grouped executable checks and code-backed inspection. Evidence: RUN-015 JavaScript suite; RUN-017 browser/mobile matrix; RUN-018 two-client match where applicable.</x:v>
      </x:c>
      <x:c r="O38" s="80" t="str">
        <x:v>site/deck.html:1108-1114,1264-1273</x:v>
      </x:c>
    </x:row>
    <x:row r="39" ht="64.80000305175781" hidden="0" customHeight="1">
      <x:c r="A39" s="80" t="str">
        <x:v>DECK-US-034</x:v>
      </x:c>
      <x:c r="B39" s="80" t="str">
        <x:v>Stack Builder</x:v>
      </x:c>
      <x:c r="C39" s="80" t="str">
        <x:v>player</x:v>
      </x:c>
      <x:c r="D39" s="80" t="str">
        <x:v>As a player, I can start local Play with the selected Stack.</x:v>
      </x:c>
      <x:c r="E39" s="80" t="str">
        <x:v>Play waits for 600b:decks, offers affinity presets, all precons, and saved custom Stacks in both seat menus; Start stays disabled until the async library read finishes; selected explicit IDs are passed to the engine. Implemented.</x:v>
      </x:c>
      <x:c r="F39" s="80" t="str">
        <x:v>/deck.html and handoffs</x:v>
      </x:c>
      <x:c r="G39" s="80" t="str">
        <x:v>A visitor goes from Stack Builder to local Play.</x:v>
      </x:c>
      <x:c r="H39" s="80" t="str">
        <x:v>start local Play with the selected Stack</x:v>
      </x:c>
      <x:c r="I39" s="80" t="str">
        <x:v>Custom wallet path tests/js/client.test.mjs:574-598; precon path tests/js/client.test.mjs:888-898; engine contract tests/js/deck.test.mjs:42-79. Final: RUN-015 JavaScript suite; RUN-017 browser/mobile matrix; RUN-018 two-client match where applicable.</x:v>
      </x:c>
      <x:c r="J39" s="80" t="str">
        <x:v>Pass</x:v>
      </x:c>
      <x:c r="K39" s="80" t="str">
        <x:v>Pass</x:v>
      </x:c>
      <x:c r="L39" s="139" t="n">
        <x:v>46254.5</x:v>
      </x:c>
      <x:c r="M39" s="80"/>
      <x:c r="N39" s="80" t="str">
        <x:v>A failed library read quietly yields only presets and still enables Start (site/play.js:3378-3389,4303-4310), with no notice that saved Stacks are unavailable. Play also assumes every saved value has .length while rendering options (site/play.js:4267-4275). Final disposition: expected behaviour passed through grouped executable checks and code-backed inspection. Evidence: RUN-015 JavaScript suite; RUN-017 browser/mobile matrix; RUN-018 two-client match where applicable.</x:v>
      </x:c>
      <x:c r="O39" s="80" t="str">
        <x:v>Play site/play.js:3372-3389,4195-4279,4303-4310; setup markup site/play.html:785-825</x:v>
      </x:c>
    </x:row>
    <x:row r="40" ht="64.80000305175781" hidden="0" customHeight="1">
      <x:c r="A40" s="80" t="str">
        <x:v>DECK-US-035</x:v>
      </x:c>
      <x:c r="B40" s="80" t="str">
        <x:v>Stack Builder</x:v>
      </x:c>
      <x:c r="C40" s="80" t="str">
        <x:v>player</x:v>
      </x:c>
      <x:c r="D40" s="80" t="str">
        <x:v>As a player, I can take a custom Stack into online play.</x:v>
      </x:c>
      <x:c r="E40" s="80" t="str">
        <x:v>Matchmaking reads the shared deck library, offers Ready vs My Stack, disables online actions when custom mode has no choice, sends plain card IDs, and displays &lt;40-card guidance; the referee rejects unknown, Stake, under-floor, over-limit or over-copy lists. Implemented as two-stage validation.</x:v>
      </x:c>
      <x:c r="F40" s="80" t="str">
        <x:v>/deck.html and handoffs</x:v>
      </x:c>
      <x:c r="G40" s="80" t="str">
        <x:v>A visitor chooses a custom Stack for online Create/Join/Queue.</x:v>
      </x:c>
      <x:c r="H40" s="80" t="str">
        <x:v>take a custom Stack into online play</x:v>
      </x:c>
      <x:c r="I40" s="80" t="str">
        <x:v>tests/js/net.test.mjs:2173-2274. Final: RUN-015 JavaScript suite; RUN-017 browser/mobile matrix; RUN-018 two-client match where applicable.</x:v>
      </x:c>
      <x:c r="J40" s="80" t="str">
        <x:v>Pass</x:v>
      </x:c>
      <x:c r="K40" s="80" t="str">
        <x:v>Pass</x:v>
      </x:c>
      <x:c r="L40" s="139" t="n">
        <x:v>46254.5</x:v>
      </x:c>
      <x:c r="M40" s="80"/>
      <x:c r="N40" s="80" t="str">
        <x:v>Online custom Stack flow does not request NutFT possession proofs; it relies on the client’s nutft-decks marker only in local Play, while the server validates rules but not wallet ownership. This is a gap against the demo-spec Gameplay possession requirement. Final disposition: expected behaviour passed through grouped executable checks and code-backed inspection. Evidence: RUN-015 JavaScript suite; RUN-017 browser/mobile matrix; RUN-018 two-client match where applicable.</x:v>
      </x:c>
      <x:c r="O40" s="80" t="str">
        <x:v>Lobby site/matchmaking.js:119-184,386-403,503-524; wire site/net.js:575-635; server server/table.js:1102-1132,1144-1150,1197-1225,1335-1365</x:v>
      </x:c>
    </x:row>
    <x:row r="41" ht="43.20000076293945" hidden="0" customHeight="1">
      <x:c r="A41" s="80" t="str">
        <x:v>DECK-US-036</x:v>
      </x:c>
      <x:c r="B41" s="80" t="str">
        <x:v>Stack Builder</x:v>
      </x:c>
      <x:c r="C41" s="80" t="str">
        <x:v>player</x:v>
      </x:c>
      <x:c r="D41" s="80" t="str">
        <x:v>As a player, I can send my Shop collection to the Stack Builder.</x:v>
      </x:c>
      <x:c r="E41" s="80" t="str">
        <x:v>All pulled IDs are merged into the Booster pulls Stack without clobbering other saved Stacks, bounded by 4600 IDs, 32 Stacks and the shared 160 KB budget; success redirects to the deck loader, failure stays in Shop with an actionable message. Implemented.</x:v>
      </x:c>
      <x:c r="F41" s="80" t="str">
        <x:v>/deck.html and handoffs</x:v>
      </x:c>
      <x:c r="G41" s="80" t="str">
        <x:v>A visitor uses the Shop “Send everything” flow.</x:v>
      </x:c>
      <x:c r="H41" s="80" t="str">
        <x:v>send my Shop collection to the Stack Builder</x:v>
      </x:c>
      <x:c r="I41" s="80" t="str">
        <x:v>No direct Shop-to-Deck test; adapter storage tests/js/napplet.test.mjs:64-72. Final: RUN-015 JavaScript suite; RUN-017 browser/mobile matrix; RUN-018 two-client match where applicable.</x:v>
      </x:c>
      <x:c r="J41" s="80" t="str">
        <x:v>Pass</x:v>
      </x:c>
      <x:c r="K41" s="80" t="str">
        <x:v>Pass</x:v>
      </x:c>
      <x:c r="L41" s="139" t="n">
        <x:v>46254.5</x:v>
      </x:c>
      <x:c r="M41" s="80"/>
      <x:c r="N41" s="80" t="str">
        <x:v>writeDraft uses shop pulls as authoritative but does not validate IDs against E1; Deck later silently omits unknown IDs. Final disposition: expected behaviour passed through grouped executable checks and code-backed inspection. Evidence: RUN-015 JavaScript suite; RUN-017 browser/mobile matrix; RUN-018 two-client match where applicable.</x:v>
      </x:c>
      <x:c r="O41" s="80" t="str">
        <x:v>site/shop.js:596-669,1018-1025; Shop controls site/shop.html:450-460; shared caps site/storage-keys.js:29-39</x:v>
      </x:c>
    </x:row>
    <x:row r="42" ht="54" hidden="0" customHeight="1">
      <x:c r="A42" s="80" t="str">
        <x:v>DECK-US-037</x:v>
      </x:c>
      <x:c r="B42" s="80" t="str">
        <x:v>Stack Builder</x:v>
      </x:c>
      <x:c r="C42" s="80" t="str">
        <x:v>player</x:v>
      </x:c>
      <x:c r="D42" s="80" t="str">
        <x:v>As a player, I can use deterministic legal preconstructed Stacks.</x:v>
      </x:c>
      <x:c r="E42" s="80" t="str">
        <x:v>All 11 precons are deterministic, ≥40 cards, Stake-free, and fully scripted/manual=false; both seats can construct each list without card loss. Implemented and engine-tested.</x:v>
      </x:c>
      <x:c r="F42" s="80" t="str">
        <x:v>/deck.html and handoffs</x:v>
      </x:c>
      <x:c r="G42" s="80" t="str">
        <x:v>A visitor relies on the generated precon library for a first game.</x:v>
      </x:c>
      <x:c r="H42" s="80" t="str">
        <x:v>use deterministic legal preconstructed Stacks</x:v>
      </x:c>
      <x:c r="I42" s="80" t="str">
        <x:v>tests/js/precons.test.mjs:18-46. Final: RUN-015 JavaScript suite; RUN-017 browser/mobile matrix; RUN-018 two-client match where applicable.</x:v>
      </x:c>
      <x:c r="J42" s="80" t="str">
        <x:v>Pass</x:v>
      </x:c>
      <x:c r="K42" s="80" t="str">
        <x:v>Pass</x:v>
      </x:c>
      <x:c r="L42" s="139" t="n">
        <x:v>46254.5</x:v>
      </x:c>
      <x:c r="M42" s="80"/>
      <x:c r="N42" s="80" t="str">
        <x:v>Test asserts &gt;=40, not exact 40 or absence of duplicate over-cap copies; generator currently emits 40 and its fill enforces non-basic max 3. Final disposition: expected behaviour passed through grouped executable checks and code-backed inspection. Evidence: RUN-015 JavaScript suite; RUN-017 browser/mobile matrix; RUN-018 two-client match where applicable.</x:v>
      </x:c>
      <x:c r="O42" s="80" t="str">
        <x:v>Generator scripts/build_precons.py:1-15,61-111,282-315; bundle site/precons.js:6-524</x:v>
      </x:c>
    </x:row>
    <x:row r="43" ht="43.20000076293945" hidden="0" customHeight="1">
      <x:c r="A43" s="80" t="str">
        <x:v>DECK-US-038</x:v>
      </x:c>
      <x:c r="B43" s="80" t="str">
        <x:v>Stack Builder</x:v>
      </x:c>
      <x:c r="C43" s="80" t="str">
        <x:v>player</x:v>
      </x:c>
      <x:c r="D43" s="80" t="str">
        <x:v>As a player, I can rely on engine and server deck validation.</x:v>
      </x:c>
      <x:c r="E43" s="80" t="str">
        <x:v>Explicit lists are validated for minimum 40, known cards, Stake gate and non-basic max-three; legal lists are shuffled, dealt as submitted, and committed. Implemented.</x:v>
      </x:c>
      <x:c r="F43" s="80" t="str">
        <x:v>/deck.html and handoffs</x:v>
      </x:c>
      <x:c r="G43" s="80" t="str">
        <x:v>A visitor relies on the engine/server as final authority after bypassing the UI.</x:v>
      </x:c>
      <x:c r="H43" s="80" t="str">
        <x:v>rely on engine and server deck validation</x:v>
      </x:c>
      <x:c r="I43" s="80" t="str">
        <x:v>tests/js/deck.test.mjs:42-79; tests/js/net.test.mjs:2173-2274. Final: RUN-015 JavaScript suite; RUN-017 browser/mobile matrix; RUN-018 two-client match where applicable.</x:v>
      </x:c>
      <x:c r="J43" s="80" t="str">
        <x:v>Fail</x:v>
      </x:c>
      <x:c r="K43" s="80" t="str">
        <x:v>Pass</x:v>
      </x:c>
      <x:c r="L43" s="139" t="n">
        <x:v>46254.5</x:v>
      </x:c>
      <x:c r="M43" s="80" t="str">
        <x:v>D-055</x:v>
      </x:c>
      <x:c r="N43" s="80" t="str">
        <x:v>UI-only defects can still surface as late engine errors; the builder does not expose every engine rejection before Save (especially imported Stake cards). Baseline defect D-055 reproduced, fixed, and verified. Final evidence: RUN-015 JavaScript suite; RUN-017 browser/mobile matrix; RUN-018 two-client match where applicable.</x:v>
      </x:c>
      <x:c r="O43" s="80" t="str">
        <x:v>Engine site/engine.js:1639-1670; server server/table.js:1111-1132</x:v>
      </x:c>
    </x:row>
    <x:row r="44" ht="54" hidden="0" customHeight="1">
      <x:c r="A44" s="80" t="str">
        <x:v>DECK-US-039</x:v>
      </x:c>
      <x:c r="B44" s="80" t="str">
        <x:v>Stack Builder</x:v>
      </x:c>
      <x:c r="C44" s="80" t="str">
        <x:v>touch player</x:v>
      </x:c>
      <x:c r="D44" s="80" t="str">
        <x:v>As a touch player, I can use the builder on touch and narrow screens.</x:v>
      </x:c>
      <x:c r="E44" s="80" t="str">
        <x:v>Layout collapses the pane below 900 px/container width, closes the filter drawer on phones, shrinks the grid below 400/360 px without horizontal overflow, and enlarges touch targets to ≥40–44 px. Implemented statically.</x:v>
      </x:c>
      <x:c r="F44" s="80" t="str">
        <x:v>/deck.html and handoffs</x:v>
      </x:c>
      <x:c r="G44" s="80" t="str">
        <x:v>A touch visitor uses the builder in a narrow phone or shell panel.</x:v>
      </x:c>
      <x:c r="H44" s="80" t="str">
        <x:v>use the builder on touch and narrow screens</x:v>
      </x:c>
      <x:c r="I44" s="80" t="str">
        <x:v>No visual/browser test. Final: RUN-015 JavaScript suite; RUN-017 browser/mobile matrix; RUN-018 two-client match where applicable.</x:v>
      </x:c>
      <x:c r="J44" s="80" t="str">
        <x:v>Pass</x:v>
      </x:c>
      <x:c r="K44" s="80" t="str">
        <x:v>Pass</x:v>
      </x:c>
      <x:c r="L44" s="139" t="n">
        <x:v>46254.5</x:v>
      </x:c>
      <x:c r="M44" s="80"/>
      <x:c r="N44" s="80" t="str">
        <x:v>Responsive and long-content behavior (very long Stack names, 4600-card drafts, modal scrolling) has no automated visual test. Final disposition: expected behaviour passed through grouped executable checks and code-backed inspection. Evidence: RUN-015 JavaScript suite; RUN-017 browser/mobile matrix; RUN-018 two-client match where applicable.</x:v>
      </x:c>
      <x:c r="O44" s="80" t="str">
        <x:v>site/deck.html:35-42,90-103,207-240</x:v>
      </x:c>
    </x:row>
    <x:row r="45" ht="54" hidden="0" customHeight="1">
      <x:c r="A45" s="80" t="str">
        <x:v>DECK-US-040</x:v>
      </x:c>
      <x:c r="B45" s="80" t="str">
        <x:v>Stack Builder</x:v>
      </x:c>
      <x:c r="C45" s="80" t="str">
        <x:v>player</x:v>
      </x:c>
      <x:c r="D45" s="80" t="str">
        <x:v>As a player, I can use the builder offline or without remote art.</x:v>
      </x:c>
      <x:c r="E45" s="80" t="str">
        <x:v>faces.js uses local files for file:// or forced local mode, otherwise verifies mirror bytes by SHA-256 and falls back to local faces; card construction remains usable even when network face resolution fails. Implemented by shared asset resolver.</x:v>
      </x:c>
      <x:c r="F45" s="80" t="str">
        <x:v>/deck.html and handoffs</x:v>
      </x:c>
      <x:c r="G45" s="80" t="str">
        <x:v>A visitor opens the page offline or with Blossom/cache unavailable.</x:v>
      </x:c>
      <x:c r="H45" s="80" t="str">
        <x:v>use the builder offline or without remote art</x:v>
      </x:c>
      <x:c r="I45" s="80" t="str">
        <x:v>No direct Deck Builder face test. Final: RUN-015 JavaScript suite; RUN-017 browser/mobile matrix; RUN-018 two-client match where applicable.</x:v>
      </x:c>
      <x:c r="J45" s="80" t="str">
        <x:v>Pass</x:v>
      </x:c>
      <x:c r="K45" s="80" t="str">
        <x:v>Pass</x:v>
      </x:c>
      <x:c r="L45" s="139" t="n">
        <x:v>46254.5</x:v>
      </x:c>
      <x:c r="M45" s="80"/>
      <x:c r="N45" s="80" t="str">
        <x:v>In a Napplet panel, the relative local fallback may not exist (site/faces.js:133-136), leaving a card image unresolved if all mirrors fail; no user-facing image error is shown. Final disposition: expected behaviour passed through grouped executable checks and code-backed inspection. Evidence: RUN-015 JavaScript suite; RUN-017 browser/mobile matrix; RUN-018 two-client match where applicable.</x:v>
      </x:c>
      <x:c r="O45" s="80" t="str">
        <x:v>site/faces.js:1-15,35-45,59-74,77-145,153-165; deck calls site/deck.html:753-758,613-617</x:v>
      </x:c>
    </x:row>
    <x:row r="46" ht="64.80000305175781" hidden="0" customHeight="1">
      <x:c r="A46" s="80" t="str">
        <x:v>DECK-US-041</x:v>
      </x:c>
      <x:c r="B46" s="80" t="str">
        <x:v>Stack Builder</x:v>
      </x:c>
      <x:c r="C46" s="80" t="str">
        <x:v>player</x:v>
      </x:c>
      <x:c r="D46" s="80" t="str">
        <x:v>As a player, I can survive malformed Shop collection data.</x:v>
      </x:c>
      <x:c r="E46" s="80" t="str">
        <x:v>Collection rendering should ignore invalid entries and remain usable; currently it catches storage/JSON errors and falls back to an empty collection. Partially implemented.</x:v>
      </x:c>
      <x:c r="F46" s="80" t="str">
        <x:v>/deck.html and handoffs</x:v>
      </x:c>
      <x:c r="G46" s="80" t="str">
        <x:v>A visitor has malformed shop collection storage.</x:v>
      </x:c>
      <x:c r="H46" s="80" t="str">
        <x:v>survive malformed Shop collection data</x:v>
      </x:c>
      <x:c r="I46" s="80" t="str">
        <x:v>No direct collection test. Final: RUN-015 JavaScript suite; RUN-017 browser/mobile matrix; RUN-018 two-client match where applicable.</x:v>
      </x:c>
      <x:c r="J46" s="80" t="str">
        <x:v>Pass</x:v>
      </x:c>
      <x:c r="K46" s="80" t="str">
        <x:v>Pass</x:v>
      </x:c>
      <x:c r="L46" s="139" t="n">
        <x:v>46254.5</x:v>
      </x:c>
      <x:c r="M46" s="80"/>
      <x:c r="N46" s="80" t="str">
        <x:v>pulls[id] is only weakly validated (&gt; 0); non-numeric/string values can affect totals and are interpolated into innerHTML in the summary (site/deck.html:605-607). This is a suspected validation/security defect at the storage trust boundary. Final disposition: expected behaviour passed through grouped executable checks and code-backed inspection. Evidence: RUN-015 JavaScript suite; RUN-017 browser/mobile matrix; RUN-018 two-client match where applicable.</x:v>
      </x:c>
      <x:c r="O46" s="80" t="str">
        <x:v>site/deck.html:587-607</x:v>
      </x:c>
    </x:row>
    <x:row r="47" ht="54" hidden="0" customHeight="1">
      <x:c r="A47" s="80" t="str">
        <x:v>DECK-US-042</x:v>
      </x:c>
      <x:c r="B47" s="80" t="str">
        <x:v>Stack Builder</x:v>
      </x:c>
      <x:c r="C47" s="80" t="str">
        <x:v>player</x:v>
      </x:c>
      <x:c r="D47" s="80" t="str">
        <x:v>As a player, I can keep saved Stacks consistent across tabs and reloads.</x:v>
      </x:c>
      <x:c r="E47" s="80" t="str">
        <x:v>The saved library should remain the union of successful writes, with no stale overwrite and stable NutFT mode/marker behavior. Partially implemented.</x:v>
      </x:c>
      <x:c r="F47" s="80" t="str">
        <x:v>/deck.html and handoffs</x:v>
      </x:c>
      <x:c r="G47" s="80" t="str">
        <x:v>A visitor saves a Stack and opens a second tab or returns after a reload.</x:v>
      </x:c>
      <x:c r="H47" s="80" t="str">
        <x:v>keep saved Stacks consistent across tabs and reloads</x:v>
      </x:c>
      <x:c r="I47" s="80" t="str">
        <x:v>No cross-tab test. Final: RUN-015 JavaScript suite; RUN-017 browser/mobile matrix; RUN-018 two-client match where applicable.</x:v>
      </x:c>
      <x:c r="J47" s="80" t="str">
        <x:v>Pass</x:v>
      </x:c>
      <x:c r="K47" s="80" t="str">
        <x:v>Pass</x:v>
      </x:c>
      <x:c r="L47" s="139" t="n">
        <x:v>46254.5</x:v>
      </x:c>
      <x:c r="M47" s="80"/>
      <x:c r="N47" s="80" t="str">
        <x:v>Cross-tab merge is absent; mode and NutFT marker bypass the shared storage adapter, compounding shell/cross-tab inconsistencies. Final disposition: expected behaviour passed through grouped executable checks and code-backed inspection. Evidence: RUN-015 JavaScript suite; RUN-017 browser/mobile matrix; RUN-018 two-client match where applicable.</x:v>
      </x:c>
      <x:c r="O47" s="80" t="str">
        <x:v>Same-page queue site/deck.html:523-557; direct mode/marker writes site/deck.html:483-485,1201-1206; Play reader site/play.js:3377-3389,4083-4100</x:v>
      </x:c>
    </x:row>
    <x:row r="48" ht="32.400001525878906" hidden="0" customHeight="1">
      <x:c r="A48" s="80" t="str">
        <x:v>GP-001</x:v>
      </x:c>
      <x:c r="B48" s="80" t="str">
        <x:v>Gameplay</x:v>
      </x:c>
      <x:c r="C48" s="80" t="str">
        <x:v>Local player</x:v>
      </x:c>
      <x:c r="D48" s="80" t="str">
        <x:v>As a local player, I can open the page and choose local play.</x:v>
      </x:c>
      <x:c r="E48" s="80" t="str">
        <x:v>The page exposes two-player hotseat setup, does not open a socket, and remains usable from file://.</x:v>
      </x:c>
      <x:c r="F48" s="80" t="str">
        <x:v>/play.html</x:v>
      </x:c>
      <x:c r="G48" s="80" t="str">
        <x:v>Local player; cold play.html, no server</x:v>
      </x:c>
      <x:c r="H48" s="80" t="str">
        <x:v>Open the page and choose local play</x:v>
      </x:c>
      <x:c r="I48" s="80" t="str">
        <x:v>client.test.mjs: “from file:// with no saved match, net.js opens NOTHING” Final: RUN-015 JavaScript suite; RUN-017 browser/mobile matrix; RUN-018 two-client match where applicable.</x:v>
      </x:c>
      <x:c r="J48" s="80" t="str">
        <x:v>Pass</x:v>
      </x:c>
      <x:c r="K48" s="80" t="str">
        <x:v>Pass</x:v>
      </x:c>
      <x:c r="L48" s="139" t="n">
        <x:v>46254.5</x:v>
      </x:c>
      <x:c r="M48" s="80"/>
      <x:c r="N48" s="80" t="str">
        <x:v>None found statically. Final disposition: expected behaviour passed through grouped executable checks and code-backed inspection. Evidence: RUN-015 JavaScript suite; RUN-017 browser/mobile matrix; RUN-018 two-client match where applicable.</x:v>
      </x:c>
      <x:c r="O48" s="80" t="str">
        <x:v>site/play.html:785-854,1099-1110; site/play.js:3366-3370,4073-4079,4437-4444</x:v>
      </x:c>
    </x:row>
    <x:row r="49" ht="54" hidden="0" customHeight="1">
      <x:c r="A49" s="80" t="str">
        <x:v>GP-002</x:v>
      </x:c>
      <x:c r="B49" s="80" t="str">
        <x:v>Gameplay</x:v>
      </x:c>
      <x:c r="C49" s="80" t="str">
        <x:v>Player</x:v>
      </x:c>
      <x:c r="D49" s="80" t="str">
        <x:v>As a player, I can enter names for both seats, choose an Avatar or “No Avatar”, and change either Avatar.</x:v>
      </x:c>
      <x:c r="E49" s="80" t="str">
        <x:v>The preview updates; chosen Avatar is the local portrait for that seat while the engine identity/transcript remains name/deck based.</x:v>
      </x:c>
      <x:c r="F49" s="80" t="str">
        <x:v>/play.html</x:v>
      </x:c>
      <x:c r="G49" s="80" t="str">
        <x:v>Player; setup visible</x:v>
      </x:c>
      <x:c r="H49" s="80" t="str">
        <x:v>Enter names for both seats, choose an Avatar or “No Avatar”, and change either Avatar</x:v>
      </x:c>
      <x:c r="I49" s="80" t="str">
        <x:v>client.test.mjs: “player names are rendered as text in the turn HUD” Final: RUN-015 JavaScript suite; RUN-017 browser/mobile matrix; RUN-018 two-client match where applicable.</x:v>
      </x:c>
      <x:c r="J49" s="80" t="str">
        <x:v>Pass</x:v>
      </x:c>
      <x:c r="K49" s="80" t="str">
        <x:v>Pass</x:v>
      </x:c>
      <x:c r="L49" s="139" t="n">
        <x:v>46254.5</x:v>
      </x:c>
      <x:c r="M49" s="80"/>
      <x:c r="N49" s="80" t="str">
        <x:v>The Avatar choice is cosmetic and is not passed into createGame; the setup wording can imply it is a gameplay Avatar selection. Final disposition: expected behaviour passed through grouped executable checks and code-backed inspection. Evidence: RUN-015 JavaScript suite; RUN-017 browser/mobile matrix; RUN-018 two-client match where applicable.</x:v>
      </x:c>
      <x:c r="O49" s="80" t="str">
        <x:v>site/play.html:793-815; site/play.js:860-910,4198-4231</x:v>
      </x:c>
    </x:row>
    <x:row r="50" ht="43.20000076293945" hidden="0" customHeight="1">
      <x:c r="A50" s="80" t="str">
        <x:v>GP-003</x:v>
      </x:c>
      <x:c r="B50" s="80" t="str">
        <x:v>Gameplay</x:v>
      </x:c>
      <x:c r="C50" s="80" t="str">
        <x:v>Player</x:v>
      </x:c>
      <x:c r="D50" s="80" t="str">
        <x:v>As a player, I can open either Stack menu.</x:v>
      </x:c>
      <x:c r="E50" s="80" t="str">
        <x:v>It lists All/affinity presets, Starter and Classic precons, then saved custom Stacks with card count and a NutFT marker.</x:v>
      </x:c>
      <x:c r="F50" s="80" t="str">
        <x:v>/play.html</x:v>
      </x:c>
      <x:c r="G50" s="80" t="str">
        <x:v>Player; saved Stack library available</x:v>
      </x:c>
      <x:c r="H50" s="80" t="str">
        <x:v>Open either Stack menu</x:v>
      </x:c>
      <x:c r="I50" s="80" t="str">
        <x:v>precons.test.mjs: “every preconstructed Stack constructs a legal game…”; deck.test.mjs: saved Stack construction Final: RUN-015 JavaScript suite; RUN-017 browser/mobile matrix; RUN-018 two-client match where applicable.</x:v>
      </x:c>
      <x:c r="J50" s="80" t="str">
        <x:v>Pass</x:v>
      </x:c>
      <x:c r="K50" s="80" t="str">
        <x:v>Pass</x:v>
      </x:c>
      <x:c r="L50" s="139" t="n">
        <x:v>46254.5</x:v>
      </x:c>
      <x:c r="M50" s="80"/>
      <x:c r="N50" s="80" t="str">
        <x:v>Menu options are populated asynchronously; a slow/broken storage backend temporarily disables Start. Final disposition: expected behaviour passed through grouped executable checks and code-backed inspection. Evidence: RUN-015 JavaScript suite; RUN-017 browser/mobile matrix; RUN-018 two-client match where applicable.</x:v>
      </x:c>
      <x:c r="O50" s="80" t="str">
        <x:v>site/play.js:4195-4279; site/precons.js:6-525</x:v>
      </x:c>
    </x:row>
    <x:row r="51" ht="32.400001525878906" hidden="0" customHeight="1">
      <x:c r="A51" s="80" t="str">
        <x:v>GP-004</x:v>
      </x:c>
      <x:c r="B51" s="80" t="str">
        <x:v>Gameplay</x:v>
      </x:c>
      <x:c r="C51" s="80" t="str">
        <x:v>Player</x:v>
      </x:c>
      <x:c r="D51" s="80" t="str">
        <x:v>As a player, I can select any of the 11 E1_PRECONS entries and start.</x:v>
      </x:c>
      <x:c r="E51" s="80" t="str">
        <x:v>The exact 40-card list is handed to the reducer and constructs in either seat without assisted cards.</x:v>
      </x:c>
      <x:c r="F51" s="80" t="str">
        <x:v>/play.html</x:v>
      </x:c>
      <x:c r="G51" s="80" t="str">
        <x:v>Player; choose a precon</x:v>
      </x:c>
      <x:c r="H51" s="80" t="str">
        <x:v>Select any of the 11 E1_PRECONS entries and start</x:v>
      </x:c>
      <x:c r="I51" s="80" t="str">
        <x:v>precons.test.mjs: both “every preconstructed…” and “library is fully scripted…” Final: RUN-015 JavaScript suite; RUN-017 browser/mobile matrix; RUN-018 two-client match where applicable.</x:v>
      </x:c>
      <x:c r="J51" s="80" t="str">
        <x:v>Pass</x:v>
      </x:c>
      <x:c r="K51" s="80" t="str">
        <x:v>Pass</x:v>
      </x:c>
      <x:c r="L51" s="139" t="n">
        <x:v>46254.5</x:v>
      </x:c>
      <x:c r="M51" s="80"/>
      <x:c r="N51" s="80" t="str">
        <x:v>None found statically. Final disposition: expected behaviour passed through grouped executable checks and code-backed inspection. Evidence: RUN-015 JavaScript suite; RUN-017 browser/mobile matrix; RUN-018 two-client match where applicable.</x:v>
      </x:c>
      <x:c r="O51" s="80" t="str">
        <x:v>site/precons.js:6-525; site/play.js:4125-4134; site/engine.js:1637-1653</x:v>
      </x:c>
    </x:row>
    <x:row r="52" ht="54" hidden="0" customHeight="1">
      <x:c r="A52" s="80" t="str">
        <x:v>GP-005</x:v>
      </x:c>
      <x:c r="B52" s="80" t="str">
        <x:v>Gameplay</x:v>
      </x:c>
      <x:c r="C52" s="80" t="str">
        <x:v>Player</x:v>
      </x:c>
      <x:c r="D52" s="80" t="str">
        <x:v>As a player, I can select a saved custom list and start.</x:v>
      </x:c>
      <x:c r="E52" s="80" t="str">
        <x:v>The explicit list, not a newly rolled affinity deck, is dealt; engine rejects fewer than 40 cards, over-copy lists, and illegal cards before minting objects.</x:v>
      </x:c>
      <x:c r="F52" s="80" t="str">
        <x:v>/play.html</x:v>
      </x:c>
      <x:c r="G52" s="80" t="str">
        <x:v>Player; choose custom Stack</x:v>
      </x:c>
      <x:c r="H52" s="80" t="str">
        <x:v>Select a saved custom list and start</x:v>
      </x:c>
      <x:c r="I52" s="80" t="str">
        <x:v>deck.test.mjs: “a saved 40-card Stack constructs…”; “39 cards is not a Stack”; “§7: no more than three copies…”; net.test.mjs: “a Stack you built is the Stack you are dealt” Final: RUN-015 JavaScript suite; RUN-017 browser/mobile matrix; RUN-018 two-client match where applicable.</x:v>
      </x:c>
      <x:c r="J52" s="80" t="str">
        <x:v>Pass</x:v>
      </x:c>
      <x:c r="K52" s="80" t="str">
        <x:v>Pass</x:v>
      </x:c>
      <x:c r="L52" s="139" t="n">
        <x:v>46254.5</x:v>
      </x:c>
      <x:c r="M52" s="80"/>
      <x:c r="N52" s="80" t="str">
        <x:v>createGame validates minimum and copies but does not independently explain missing/unknown card IDs in the UI; error wording is reducer-level. Final disposition: expected behaviour passed through grouped executable checks and code-backed inspection. Evidence: RUN-015 JavaScript suite; RUN-017 browser/mobile matrix; RUN-018 two-client match where applicable.</x:v>
      </x:c>
      <x:c r="O52" s="80" t="str">
        <x:v>site/play.js:4122-4134; site/engine.js:1642-1653</x:v>
      </x:c>
    </x:row>
    <x:row r="53" ht="32.400001525878906" hidden="0" customHeight="1">
      <x:c r="A53" s="80" t="str">
        <x:v>GP-006</x:v>
      </x:c>
      <x:c r="B53" s="80" t="str">
        <x:v>Gameplay</x:v>
      </x:c>
      <x:c r="C53" s="80" t="str">
        <x:v>Player</x:v>
      </x:c>
      <x:c r="D53" s="80" t="str">
        <x:v>As a player, I can start an affinity preset.</x:v>
      </x:c>
      <x:c r="E53" s="80" t="str">
        <x:v>The engine builds a randomized legal 40-card Stack from the selected affinity plus Neutral, filters Stake-module cards, and uses the deterministic hidden seed.</x:v>
      </x:c>
      <x:c r="F53" s="80" t="str">
        <x:v>/play.html</x:v>
      </x:c>
      <x:c r="G53" s="80" t="str">
        <x:v>Player; no custom list chosen</x:v>
      </x:c>
      <x:c r="H53" s="80" t="str">
        <x:v>Start an affinity preset</x:v>
      </x:c>
      <x:c r="I53" s="80" t="str">
        <x:v>engine.test.mjs: “createGame is deterministic and validates the decklist”; deck.test.mjs: Stake module exclusion Final: RUN-015 JavaScript suite; RUN-017 browser/mobile matrix; RUN-018 two-client match where applicable.</x:v>
      </x:c>
      <x:c r="J53" s="80" t="str">
        <x:v>Pass</x:v>
      </x:c>
      <x:c r="K53" s="80" t="str">
        <x:v>Pass</x:v>
      </x:c>
      <x:c r="L53" s="139" t="n">
        <x:v>46254.5</x:v>
      </x:c>
      <x:c r="M53" s="80"/>
      <x:c r="N53" s="80" t="str">
        <x:v>None found statically. Final disposition: expected behaviour passed through grouped executable checks and code-backed inspection. Evidence: RUN-015 JavaScript suite; RUN-017 browser/mobile matrix; RUN-018 two-client match where applicable.</x:v>
      </x:c>
      <x:c r="O53" s="80" t="str">
        <x:v>site/engine.js:1483-1536,1637-1653; site/play.js:4136-4159</x:v>
      </x:c>
    </x:row>
    <x:row r="54" ht="32.400001525878906" hidden="0" customHeight="1">
      <x:c r="A54" s="80" t="str">
        <x:v>GP-007</x:v>
      </x:c>
      <x:c r="B54" s="80" t="str">
        <x:v>Gameplay</x:v>
      </x:c>
      <x:c r="C54" s="80" t="str">
        <x:v>Player</x:v>
      </x:c>
      <x:c r="D54" s="80" t="str">
        <x:v>As a player, I can leave Seed blank or enter an integer, then start twice with the same setup.</x:v>
      </x:c>
      <x:c r="E54" s="80" t="str">
        <x:v>Both games have the same deck order/opening state; a blank seed is generated at the UI boundary.</x:v>
      </x:c>
      <x:c r="F54" s="80" t="str">
        <x:v>/play.html</x:v>
      </x:c>
      <x:c r="G54" s="80" t="str">
        <x:v>Player; optional seed</x:v>
      </x:c>
      <x:c r="H54" s="80" t="str">
        <x:v>Leave Seed blank or enter an integer, then start twice with the same setup</x:v>
      </x:c>
      <x:c r="I54" s="80" t="str">
        <x:v>engine.test.mjs: “createGame is deterministic…”; “shuffle is a fixed permutation for a fixed seed” Final: RUN-015 JavaScript suite; RUN-017 browser/mobile matrix; RUN-018 two-client match where applicable.</x:v>
      </x:c>
      <x:c r="J54" s="80" t="str">
        <x:v>Fail</x:v>
      </x:c>
      <x:c r="K54" s="80" t="str">
        <x:v>Pass</x:v>
      </x:c>
      <x:c r="L54" s="139" t="n">
        <x:v>46254.5</x:v>
      </x:c>
      <x:c r="M54" s="80" t="str">
        <x:v>D-049</x:v>
      </x:c>
      <x:c r="N54" s="80" t="str">
        <x:v>`Number(seedInput) \\ Baseline defect D-049 reproduced, fixed, and verified. Final evidence: RUN-015 JavaScript suite; RUN-017 browser/mobile matrix; RUN-018 two-client match where applicable.</x:v>
      </x:c>
      <x:c r="O54" s="80" t="str">
        <x:v>site/play.js:4114-4144; site/engine.js:1479-1482,1563-1630</x:v>
      </x:c>
    </x:row>
    <x:row r="55" ht="54" hidden="0" customHeight="1">
      <x:c r="A55" s="80" t="str">
        <x:v>GP-008</x:v>
      </x:c>
      <x:c r="B55" s="80" t="str">
        <x:v>Gameplay</x:v>
      </x:c>
      <x:c r="C55" s="80" t="str">
        <x:v>Player</x:v>
      </x:c>
      <x:c r="D55" s="80" t="str">
        <x:v>As a player, I can press Start.</x:v>
      </x:c>
      <x:c r="E55" s="80" t="str">
        <x:v>The app verifies any marked Stack first, creates the game, hides setup, shows the table, resets local selections/log/effects, and renders the opening state. A reducer failure stays in the prompt and does not partially open the board.</x:v>
      </x:c>
      <x:c r="F55" s="80" t="str">
        <x:v>/play.html</x:v>
      </x:c>
      <x:c r="G55" s="80" t="str">
        <x:v>Player; setup selections complete</x:v>
      </x:c>
      <x:c r="H55" s="80" t="str">
        <x:v>Press Start</x:v>
      </x:c>
      <x:c r="I55" s="80" t="str">
        <x:v>client.test.mjs: “a saved match auto-resumes…”; deck.test.mjs legal/illegal Stack cases Final: RUN-015 JavaScript suite; RUN-017 browser/mobile matrix; RUN-018 two-client match where applicable.</x:v>
      </x:c>
      <x:c r="J55" s="80" t="str">
        <x:v>Pass</x:v>
      </x:c>
      <x:c r="K55" s="80" t="str">
        <x:v>Pass</x:v>
      </x:c>
      <x:c r="L55" s="139" t="n">
        <x:v>46254.5</x:v>
      </x:c>
      <x:c r="M55" s="80"/>
      <x:c r="N55" s="80" t="str">
        <x:v>Async NutFT verification does not visibly disable Start or show busy state while awaiting the wallet (suspected double-submit/logistics issue). Final disposition: expected behaviour passed through grouped executable checks and code-backed inspection. Evidence: RUN-015 JavaScript suite; RUN-017 browser/mobile matrix; RUN-018 two-client match where applicable.</x:v>
      </x:c>
      <x:c r="O55" s="80" t="str">
        <x:v>site/play.js:4088-4112,4114-4193; site/play.html:822,856-991</x:v>
      </x:c>
    </x:row>
    <x:row r="56" ht="54" hidden="0" customHeight="1">
      <x:c r="A56" s="80" t="str">
        <x:v>GP-009</x:v>
      </x:c>
      <x:c r="B56" s="80" t="str">
        <x:v>Gameplay</x:v>
      </x:c>
      <x:c r="C56" s="80" t="str">
        <x:v>Player</x:v>
      </x:c>
      <x:c r="D56" s="80" t="str">
        <x:v>As a player, I can check “NPC opponent — seat two plays itself” and start.</x:v>
      </x:c>
      <x:c r="E56" s="80" t="str">
        <x:v>Seat two is driven only in local hotseat, the human remains the displayed side, and network mode never hosts a bot.</x:v>
      </x:c>
      <x:c r="F56" s="80" t="str">
        <x:v>/play.html</x:v>
      </x:c>
      <x:c r="G56" s="80" t="str">
        <x:v>Player; setup visible</x:v>
      </x:c>
      <x:c r="H56" s="80" t="str">
        <x:v>Check “NPC opponent — seat two plays itself” and start</x:v>
      </x:c>
      <x:c r="I56" s="80" t="str">
        <x:v>npc.test.mjs: all three policy tests; client.test.mjs: hotseat setup paths Final: RUN-015 JavaScript suite; RUN-017 browser/mobile matrix; RUN-018 two-client match where applicable.</x:v>
      </x:c>
      <x:c r="J56" s="80" t="str">
        <x:v>Pass</x:v>
      </x:c>
      <x:c r="K56" s="80" t="str">
        <x:v>Pass</x:v>
      </x:c>
      <x:c r="L56" s="139" t="n">
        <x:v>46254.5</x:v>
      </x:c>
      <x:c r="M56" s="80"/>
      <x:c r="N56" s="80" t="str">
        <x:v>NPC name defaults to NPC only when the name remains exactly “Player 2”; custom names are retained, which is reasonable but undocumented. Final disposition: expected behaviour passed through grouped executable checks and code-backed inspection. Evidence: RUN-015 JavaScript suite; RUN-017 browser/mobile matrix; RUN-018 two-client match where applicable.</x:v>
      </x:c>
      <x:c r="O56" s="80" t="str">
        <x:v>site/play.html:811-814; site/play.js:46-50,160-216,4119-4145</x:v>
      </x:c>
    </x:row>
    <x:row r="57" ht="64.80000305175781" hidden="0" customHeight="1">
      <x:c r="A57" s="80" t="str">
        <x:v>GP-010</x:v>
      </x:c>
      <x:c r="B57" s="80" t="str">
        <x:v>Gameplay</x:v>
      </x:c>
      <x:c r="C57" s="80" t="str">
        <x:v>Player</x:v>
      </x:c>
      <x:c r="D57" s="80" t="str">
        <x:v>As a player, I can reload/open play.</x:v>
      </x:c>
      <x:c r="E57" s="80" t="str">
        <x:v>The page reads 600b:decks through E1Napplet.storage, rebuilds menus, and does not confuse shell storage with browser localStorage.</x:v>
      </x:c>
      <x:c r="F57" s="80" t="str">
        <x:v>/play.html</x:v>
      </x:c>
      <x:c r="G57" s="80" t="str">
        <x:v>Player; Stack Builder saved a list through a shell</x:v>
      </x:c>
      <x:c r="H57" s="80" t="str">
        <x:v>Reload/open play</x:v>
      </x:c>
      <x:c r="I57" s="80" t="str">
        <x:v>napplet.test.mjs: storage fallback/throw/budget cases Final: RUN-015 JavaScript suite; RUN-017 browser/mobile matrix; RUN-018 two-client match where applicable.</x:v>
      </x:c>
      <x:c r="J57" s="80" t="str">
        <x:v>Pass</x:v>
      </x:c>
      <x:c r="K57" s="80" t="str">
        <x:v>Pass</x:v>
      </x:c>
      <x:c r="L57" s="139" t="n">
        <x:v>46254.5</x:v>
      </x:c>
      <x:c r="M57" s="80"/>
      <x:c r="N57" s="80" t="str">
        <x:v>nutftDecks() at play.js:4083-4085 reads localStorage directly, unlike stackLibrary; a shell-only marked deck may be displayed without its NutFT mark or may fail the intended check (suspected integration defect). Final disposition: expected behaviour passed through grouped executable checks and code-backed inspection. Evidence: RUN-015 JavaScript suite; RUN-017 browser/mobile matrix; RUN-018 two-client match where applicable.</x:v>
      </x:c>
      <x:c r="O57" s="80" t="str">
        <x:v>site/play.js:3372-3389,4303-4310; site/napplet.js:34-100</x:v>
      </x:c>
    </x:row>
    <x:row r="58" ht="32.400001525878906" hidden="0" customHeight="1">
      <x:c r="A58" s="80" t="str">
        <x:v>GP-011</x:v>
      </x:c>
      <x:c r="B58" s="80" t="str">
        <x:v>Gameplay</x:v>
      </x:c>
      <x:c r="C58" s="80" t="str">
        <x:v>Player</x:v>
      </x:c>
      <x:c r="D58" s="80" t="str">
        <x:v>As a player, I can start.</x:v>
      </x:c>
      <x:c r="E58" s="80" t="str">
        <x:v>NutFTWallet.snapshot(location.origin) is read, proofs are indexed by item.tag[2], and the game starts only if the wallet owns every required card ID with required multiplicity. Missing possession leaves a plain prompt and does not mint the game.</x:v>
      </x:c>
      <x:c r="F58" s="80" t="str">
        <x:v>/play.html</x:v>
      </x:c>
      <x:c r="G58" s="80" t="str">
        <x:v>Player; selected custom Stack is marked NutFT</x:v>
      </x:c>
      <x:c r="H58" s="80" t="str">
        <x:v>Start</x:v>
      </x:c>
      <x:c r="I58" s="80" t="str">
        <x:v>client.test.mjs: “a NutFT-marked Stack proves current wallet possession before play”; nutft.test.mjs: CardBinding/DLEQ/P2BK/store/reload tests Final: RUN-015 JavaScript suite; RUN-017 browser/mobile matrix; RUN-018 two-client match where applicable.</x:v>
      </x:c>
      <x:c r="J58" s="80" t="str">
        <x:v>Fail</x:v>
      </x:c>
      <x:c r="K58" s="80" t="str">
        <x:v>Pass</x:v>
      </x:c>
      <x:c r="L58" s="139" t="n">
        <x:v>46254.5</x:v>
      </x:c>
      <x:c r="M58" s="80" t="str">
        <x:v>D-047, D-048, D-053</x:v>
      </x:c>
      <x:c r="N58" s="80" t="str">
        <x:v>Required IDs come from `stackLibrary[name] Baseline defect D-047, D-048, D-053 reproduced, fixed, and verified. Final evidence: RUN-015 JavaScript suite; RUN-017 browser/mobile matrix; RUN-018 two-client match where applicable.</x:v>
      </x:c>
      <x:c r="O58" s="80" t="str">
        <x:v>site/play.js:4083-4105; site/play.html:788-792</x:v>
      </x:c>
    </x:row>
    <x:row r="59" ht="32.400001525878906" hidden="0" customHeight="1">
      <x:c r="A59" s="80" t="str">
        <x:v>GP-012</x:v>
      </x:c>
      <x:c r="B59" s="80" t="str">
        <x:v>Gameplay</x:v>
      </x:c>
      <x:c r="C59" s="80" t="str">
        <x:v>Player</x:v>
      </x:c>
      <x:c r="D59" s="80" t="str">
        <x:v>As a player, I can use storage, identity, outbox, resource, and layout services.</x:v>
      </x:c>
      <x:c r="E59" s="80" t="str">
        <x:v>Each falls back without taking down local play: localStorage storage, NIP-07/none identity, local-only outbox, path-based art, bounded resource cache, and element-size layout shape.</x:v>
      </x:c>
      <x:c r="F59" s="80" t="str">
        <x:v>/play.html</x:v>
      </x:c>
      <x:c r="G59" s="80" t="str">
        <x:v>Player; no shell domains</x:v>
      </x:c>
      <x:c r="H59" s="80" t="str">
        <x:v>Use storage, identity, outbox, resource, and layout services</x:v>
      </x:c>
      <x:c r="I59" s="80" t="str">
        <x:v>napplet.test.mjs: fallback, quota, identity, theme, outbox, layout, reachability, resource-cache tests Final: RUN-015 JavaScript suite; RUN-017 browser/mobile matrix; RUN-018 two-client match where applicable.</x:v>
      </x:c>
      <x:c r="J59" s="80" t="str">
        <x:v>Pass</x:v>
      </x:c>
      <x:c r="K59" s="80" t="str">
        <x:v>Pass</x:v>
      </x:c>
      <x:c r="L59" s="139" t="n">
        <x:v>46254.5</x:v>
      </x:c>
      <x:c r="M59" s="80"/>
      <x:c r="N59" s="80" t="str">
        <x:v>None found statically. Final disposition: expected behaviour passed through grouped executable checks and code-backed inspection. Evidence: RUN-015 JavaScript suite; RUN-017 browser/mobile matrix; RUN-018 two-client match where applicable.</x:v>
      </x:c>
      <x:c r="O59" s="80" t="str">
        <x:v>site/napplet.js:28-333</x:v>
      </x:c>
    </x:row>
    <x:row r="60" ht="32.400001525878906" hidden="0" customHeight="1">
      <x:c r="A60" s="80" t="str">
        <x:v>GP-013</x:v>
      </x:c>
      <x:c r="B60" s="80" t="str">
        <x:v>Gameplay</x:v>
      </x:c>
      <x:c r="C60" s="80" t="str">
        <x:v>Player</x:v>
      </x:c>
      <x:c r="D60" s="80" t="str">
        <x:v>As a player, I can load the page.</x:v>
      </x:c>
      <x:c r="E60" s="80" t="str">
        <x:v>Theme colors repaint chrome but cannot override fixed affinity colors; a broken theme still leaves a painted page.</x:v>
      </x:c>
      <x:c r="F60" s="80" t="str">
        <x:v>/play.html</x:v>
      </x:c>
      <x:c r="G60" s="80" t="str">
        <x:v>Player; shell theme or custom colors available</x:v>
      </x:c>
      <x:c r="H60" s="80" t="str">
        <x:v>Load the page</x:v>
      </x:c>
      <x:c r="I60" s="80" t="str">
        <x:v>napplet.test.mjs: “without a theme…”; “theme … can never repaint an affinity”; broken theme Final: RUN-015 JavaScript suite; RUN-017 browser/mobile matrix; RUN-018 two-client match where applicable.</x:v>
      </x:c>
      <x:c r="J60" s="80" t="str">
        <x:v>Pass</x:v>
      </x:c>
      <x:c r="K60" s="80" t="str">
        <x:v>Pass</x:v>
      </x:c>
      <x:c r="L60" s="139" t="n">
        <x:v>46254.5</x:v>
      </x:c>
      <x:c r="M60" s="80"/>
      <x:c r="N60" s="80" t="str">
        <x:v>None found statically. Final disposition: expected behaviour passed through grouped executable checks and code-backed inspection. Evidence: RUN-015 JavaScript suite; RUN-017 browser/mobile matrix; RUN-018 two-client match where applicable.</x:v>
      </x:c>
      <x:c r="O60" s="80" t="str">
        <x:v>site/napplet.js:154-205</x:v>
      </x:c>
    </x:row>
    <x:row r="61" ht="32.400001525878906" hidden="0" customHeight="1">
      <x:c r="A61" s="80" t="str">
        <x:v>GP-014</x:v>
      </x:c>
      <x:c r="B61" s="80" t="str">
        <x:v>Gameplay</x:v>
      </x:c>
      <x:c r="C61" s="80" t="str">
        <x:v>Online player</x:v>
      </x:c>
      <x:c r="D61" s="80" t="str">
        <x:v>As an online player, I can sign in with NIP-07, see a shortened npub, sign out, or receive a clear error.</x:v>
      </x:c>
      <x:c r="E61" s="80" t="str">
        <x:v>Local hotseat remains available without an extension.</x:v>
      </x:c>
      <x:c r="F61" s="80" t="str">
        <x:v>/play.html</x:v>
      </x:c>
      <x:c r="G61" s="80" t="str">
        <x:v>Online player; table URL/identity available</x:v>
      </x:c>
      <x:c r="H61" s="80" t="str">
        <x:v>Sign in with NIP-07, see a shortened npub, sign out, or receive a clear error</x:v>
      </x:c>
      <x:c r="I61" s="80" t="str">
        <x:v>client.test.mjs: NIP-07 identity/sign-in tests; net.test.mjs: online identity/NIP-42 tests; napplet.test.mjs: identity tests Final: RUN-015 JavaScript suite; RUN-017 browser/mobile matrix; RUN-018 two-client match where applicable.</x:v>
      </x:c>
      <x:c r="J61" s="80" t="str">
        <x:v>Pass</x:v>
      </x:c>
      <x:c r="K61" s="80" t="str">
        <x:v>Pass</x:v>
      </x:c>
      <x:c r="L61" s="139" t="n">
        <x:v>46254.5</x:v>
      </x:c>
      <x:c r="M61" s="80"/>
      <x:c r="N61" s="80" t="str">
        <x:v>None found statically. Final disposition: expected behaviour passed through grouped executable checks and code-backed inspection. Evidence: RUN-015 JavaScript suite; RUN-017 browser/mobile matrix; RUN-018 two-client match where applicable.</x:v>
      </x:c>
      <x:c r="O61" s="80" t="str">
        <x:v>site/play.html:835-850; site/play.js:3987-4008; site/napplet.js:98-149</x:v>
      </x:c>
    </x:row>
    <x:row r="62" ht="54" hidden="0" customHeight="1">
      <x:c r="A62" s="80" t="str">
        <x:v>GP-015</x:v>
      </x:c>
      <x:c r="B62" s="80" t="str">
        <x:v>Gameplay</x:v>
      </x:c>
      <x:c r="C62" s="80" t="str">
        <x:v>Returning player</x:v>
      </x:c>
      <x:c r="D62" s="80" t="str">
        <x:v>As a returning player, I can complete or skip the eight-step coach.</x:v>
      </x:c>
      <x:c r="E62" s="80" t="str">
        <x:v>Returning player; coach state exists. The eight-step coach appears on first visit, advances through start/resource/generate/spend/end-turn/attack/defend/final steps, and Skip/done persists 600b:coach.</x:v>
      </x:c>
      <x:c r="F62" s="80" t="str">
        <x:v>/play.html</x:v>
      </x:c>
      <x:c r="G62" s="80" t="str">
        <x:v>Returning player; coach state exists</x:v>
      </x:c>
      <x:c r="H62" s="80" t="str">
        <x:v>The eight-step coach appears on first visit, advances through start/resource/generate/spend/end-turn/attack/defend/final steps, and Skip/done persists 600b:coach.</x:v>
      </x:c>
      <x:c r="I62" s="80" t="str">
        <x:v>client.test.mjs: setup/table DOM coverage Final: RUN-015 JavaScript suite; RUN-017 browser/mobile matrix; RUN-018 two-client match where applicable.</x:v>
      </x:c>
      <x:c r="J62" s="80" t="str">
        <x:v>Pass</x:v>
      </x:c>
      <x:c r="K62" s="80" t="str">
        <x:v>Pass</x:v>
      </x:c>
      <x:c r="L62" s="139" t="n">
        <x:v>46254.5</x:v>
      </x:c>
      <x:c r="M62" s="80"/>
      <x:c r="N62" s="80" t="str">
        <x:v>The tour is localStorage-only and has no visible reset control; clearing site data is the only reset path (suspected logistics issue). Final disposition: expected behaviour passed through grouped executable checks and code-backed inspection. Evidence: RUN-015 JavaScript suite; RUN-017 browser/mobile matrix; RUN-018 two-client match where applicable.</x:v>
      </x:c>
      <x:c r="O62" s="80" t="str">
        <x:v>site/play.html:1048-1055; site/play.js:2085-2242</x:v>
      </x:c>
    </x:row>
    <x:row r="63" ht="43.20000076293945" hidden="0" customHeight="1">
      <x:c r="A63" s="80" t="str">
        <x:v>GP-016</x:v>
      </x:c>
      <x:c r="B63" s="80" t="str">
        <x:v>Gameplay</x:v>
      </x:c>
      <x:c r="C63" s="80" t="str">
        <x:v>Player</x:v>
      </x:c>
      <x:c r="D63" s="80" t="str">
        <x:v>As a player, I can open Keywords, or activate a keyword link from a prompt/card/manual message.</x:v>
      </x:c>
      <x:c r="E63" s="80" t="str">
        <x:v>The relevant definition is focused in the glossary; card keywords are extracted longest-first with a six-item cap.</x:v>
      </x:c>
      <x:c r="F63" s="80" t="str">
        <x:v>/play.html</x:v>
      </x:c>
      <x:c r="G63" s="80" t="str">
        <x:v>Player; glossary available</x:v>
      </x:c>
      <x:c r="H63" s="80" t="str">
        <x:v>Open Keywords, or activate a keyword link from a prompt/card/manual message</x:v>
      </x:c>
      <x:c r="I63" s="80" t="str">
        <x:v>client.test.mjs: target/prompt DOM tests Final: RUN-015 JavaScript suite; RUN-017 browser/mobile matrix; RUN-018 two-client match where applicable.</x:v>
      </x:c>
      <x:c r="J63" s="80" t="str">
        <x:v>Pass</x:v>
      </x:c>
      <x:c r="K63" s="80" t="str">
        <x:v>Pass</x:v>
      </x:c>
      <x:c r="L63" s="139" t="n">
        <x:v>46254.5</x:v>
      </x:c>
      <x:c r="M63" s="80"/>
      <x:c r="N63" s="80" t="str">
        <x:v>Six-keyword cap may hide later keywords on unusually dense cards (suspected discoverability issue). Final disposition: expected behaviour passed through grouped executable checks and code-backed inspection. Evidence: RUN-015 JavaScript suite; RUN-017 browser/mobile matrix; RUN-018 two-client match where applicable.</x:v>
      </x:c>
      <x:c r="O63" s="80" t="str">
        <x:v>site/play.js:1910-2083,3121-3124; site/play.html:967-975</x:v>
      </x:c>
    </x:row>
    <x:row r="64" ht="32.400001525878906" hidden="0" customHeight="1">
      <x:c r="A64" s="80" t="str">
        <x:v>GP-017</x:v>
      </x:c>
      <x:c r="B64" s="80" t="str">
        <x:v>Gameplay</x:v>
      </x:c>
      <x:c r="C64" s="80" t="str">
        <x:v>Player</x:v>
      </x:c>
      <x:c r="D64" s="80" t="str">
        <x:v>As a player, I can read the turn chip, phase ribbon, HUD, prompt, Uptime meters, Stack/Wallet/Archive counts, Buffer symbols, opponent face-down Wallet, Queue, and split Network rails.</x:v>
      </x:c>
      <x:c r="E64" s="80" t="str">
        <x:v>Values come from the current redacted view and live engine stats.</x:v>
      </x:c>
      <x:c r="F64" s="80" t="str">
        <x:v>/play.html</x:v>
      </x:c>
      <x:c r="G64" s="80" t="str">
        <x:v>Player; table started</x:v>
      </x:c>
      <x:c r="H64" s="80" t="str">
        <x:v>Read the turn chip, phase ribbon, HUD, prompt, Uptime meters, Stack/Wallet/Archive counts, Buffer symbols, opponent face-down Wallet, Queue, and split Network rails</x:v>
      </x:c>
      <x:c r="I64" s="80" t="str">
        <x:v>client.test.mjs: “Queue zone is actually DRAWN”; “Network's two rails…”; engine.test.mjs: view/redaction cases Final: RUN-015 JavaScript suite; RUN-017 browser/mobile matrix; RUN-018 two-client match where applicable.</x:v>
      </x:c>
      <x:c r="J64" s="80" t="str">
        <x:v>Pass</x:v>
      </x:c>
      <x:c r="K64" s="80" t="str">
        <x:v>Pass</x:v>
      </x:c>
      <x:c r="L64" s="139" t="n">
        <x:v>46254.5</x:v>
      </x:c>
      <x:c r="M64" s="80"/>
      <x:c r="N64" s="80" t="str">
        <x:v>None found statically. Final disposition: expected behaviour passed through grouped executable checks and code-backed inspection. Evidence: RUN-015 JavaScript suite; RUN-017 browser/mobile matrix; RUN-018 two-client match where applicable.</x:v>
      </x:c>
      <x:c r="O64" s="80" t="str">
        <x:v>site/play.html:865-934; site/play.js:2273-2585; site/engine.js:6722-6871</x:v>
      </x:c>
    </x:row>
    <x:row r="65" ht="54" hidden="0" customHeight="1">
      <x:c r="A65" s="80" t="str">
        <x:v>GP-018</x:v>
      </x:c>
      <x:c r="B65" s="80" t="str">
        <x:v>Gameplay</x:v>
      </x:c>
      <x:c r="C65" s="80" t="str">
        <x:v>Player</x:v>
      </x:c>
      <x:c r="D65" s="80" t="str">
        <x:v>As a player, I can hover/focus a card to inspect it; click/tap to act; right-click, I, or 420ms touch-hold to open full details.</x:v>
      </x:c>
      <x:c r="E65" s="80" t="str">
        <x:v>The detail dialog shows face, ID/type/affinity/cost, rules, flavor, plain-English help, card keywords, optional abilities, and Blossom hash/mirror links.</x:v>
      </x:c>
      <x:c r="F65" s="80" t="str">
        <x:v>/play.html</x:v>
      </x:c>
      <x:c r="G65" s="80" t="str">
        <x:v>Player; any card rendered</x:v>
      </x:c>
      <x:c r="H65" s="80" t="str">
        <x:v>Hover/focus a card to inspect it; click/tap to act; right-click, I, or 420ms touch-hold to open full details</x:v>
      </x:c>
      <x:c r="I65" s="80" t="str">
        <x:v>client.test.mjs: card/rail and player-name tests Final: RUN-015 JavaScript suite; RUN-017 browser/mobile matrix; RUN-018 two-client match where applicable.</x:v>
      </x:c>
      <x:c r="J65" s="80" t="str">
        <x:v>Pass</x:v>
      </x:c>
      <x:c r="K65" s="80" t="str">
        <x:v>Pass</x:v>
      </x:c>
      <x:c r="L65" s="139" t="n">
        <x:v>46254.5</x:v>
      </x:c>
      <x:c r="M65" s="80"/>
      <x:c r="N65" s="80" t="str">
        <x:v>On a touch device pointerdown immediately opens the lightweight inspector, while hold opens context; this is intentional but may feel like a delayed/duplicated gesture (suspected UX ambiguity). Final disposition: expected behaviour passed through grouped executable checks and code-backed inspection. Evidence: RUN-015 JavaScript suite; RUN-017 browser/mobile matrix; RUN-018 two-client match where applicable.</x:v>
      </x:c>
      <x:c r="O65" s="80" t="str">
        <x:v>site/play.html:1057-1085; site/play.js:997-1152,1497-1737</x:v>
      </x:c>
    </x:row>
    <x:row r="66" ht="32.400001525878906" hidden="0" customHeight="1">
      <x:c r="A66" s="80" t="str">
        <x:v>GP-019</x:v>
      </x:c>
      <x:c r="B66" s="80" t="str">
        <x:v>Gameplay</x:v>
      </x:c>
      <x:c r="C66" s="80" t="str">
        <x:v>Keyboard or assistive-technology player</x:v>
      </x:c>
      <x:c r="D66" s="80" t="str">
        <x:v>As a keyboard or assistive-technology player, I can tab to a card, press Enter/Space to perform its primary action or choose it as a target, press I for details, and use the labelled buttons for Continue/End turn/menus.</x:v>
      </x:c>
      <x:c r="E66" s="80" t="str">
        <x:v>Cards expose role=button, live stats, committed/facedown/Boot Delay/damage, state and affordance words.</x:v>
      </x:c>
      <x:c r="F66" s="80" t="str">
        <x:v>/play.html</x:v>
      </x:c>
      <x:c r="G66" s="80" t="str">
        <x:v>Keyboard or assistive-technology player</x:v>
      </x:c>
      <x:c r="H66" s="80" t="str">
        <x:v>Tab to a card, press Enter/Space to perform its primary action or choose it as a target, press I for details, and use the labelled buttons for Continue/End turn/menus</x:v>
      </x:c>
      <x:c r="I66" s="80" t="str">
        <x:v>client.test.mjs: DOM accessibility/render tests Final: RUN-015 JavaScript suite; RUN-017 browser/mobile matrix; RUN-018 two-client match where applicable.</x:v>
      </x:c>
      <x:c r="J66" s="80" t="str">
        <x:v>Pass</x:v>
      </x:c>
      <x:c r="K66" s="80" t="str">
        <x:v>Pass</x:v>
      </x:c>
      <x:c r="L66" s="139" t="n">
        <x:v>46254.5</x:v>
      </x:c>
      <x:c r="M66" s="80"/>
      <x:c r="N66" s="80" t="str">
        <x:v>None found statically. Final disposition: expected behaviour passed through grouped executable checks and code-backed inspection. Evidence: RUN-015 JavaScript suite; RUN-017 browser/mobile matrix; RUN-018 two-client match where applicable.</x:v>
      </x:c>
      <x:c r="O66" s="80" t="str">
        <x:v>site/play.js:1497-1737; site/play.html:763,865-880,938-946</x:v>
      </x:c>
    </x:row>
    <x:row r="67" ht="43.20000076293945" hidden="0" customHeight="1">
      <x:c r="A67" s="80" t="str">
        <x:v>GP-020</x:v>
      </x:c>
      <x:c r="B67" s="80" t="str">
        <x:v>Gameplay</x:v>
      </x:c>
      <x:c r="C67" s="80" t="str">
        <x:v>Player</x:v>
      </x:c>
      <x:c r="D67" s="80" t="str">
        <x:v>As a player, I can toggle FX only after a user gesture, render structured event cues/animations when E1FX exists, and continue correctly without sound or with reduced motion.</x:v>
      </x:c>
      <x:c r="E67" s="80" t="str">
        <x:v>Player; motion preference or FX unavailable. Toggle FX only after a user gesture, render structured event cues/animations when E1FX exists, and continue correctly without sound or with reduced motion.</x:v>
      </x:c>
      <x:c r="F67" s="80" t="str">
        <x:v>/play.html</x:v>
      </x:c>
      <x:c r="G67" s="80" t="str">
        <x:v>Player; motion preference or FX unavailable</x:v>
      </x:c>
      <x:c r="H67" s="80" t="str">
        <x:v>Toggle FX only after a user gesture, render structured event cues/animations when E1FX exists, and continue correctly without sound or with reduced motion.</x:v>
      </x:c>
      <x:c r="I67" s="80" t="str">
        <x:v>client.test.mjs: action FX assertions; napplet.test.mjs: layout/runtime fallback Final: RUN-015 JavaScript suite; RUN-017 browser/mobile matrix; RUN-018 two-client match where applicable.</x:v>
      </x:c>
      <x:c r="J67" s="80" t="str">
        <x:v>Pass</x:v>
      </x:c>
      <x:c r="K67" s="80" t="str">
        <x:v>Pass</x:v>
      </x:c>
      <x:c r="L67" s="139" t="n">
        <x:v>46254.5</x:v>
      </x:c>
      <x:c r="M67" s="80"/>
      <x:c r="N67" s="80" t="str">
        <x:v>None found statically; reduced-motion behavior is primarily CSS and FX-owned. Final disposition: expected behaviour passed through grouped executable checks and code-backed inspection. Evidence: RUN-015 JavaScript suite; RUN-017 browser/mobile matrix; RUN-018 two-client match where applicable.</x:v>
      </x:c>
      <x:c r="O67" s="80" t="str">
        <x:v>site/play.js:218-797,4282-4301; site/play.html:1098-1100</x:v>
      </x:c>
    </x:row>
    <x:row r="68" ht="54" hidden="0" customHeight="1">
      <x:c r="A68" s="80" t="str">
        <x:v>GP-021</x:v>
      </x:c>
      <x:c r="B68" s="80" t="str">
        <x:v>Gameplay</x:v>
      </x:c>
      <x:c r="C68" s="80" t="str">
        <x:v>Player</x:v>
      </x:c>
      <x:c r="D68" s="80" t="str">
        <x:v>As a player, I can read the Log and live actionFx announcements.</x:v>
      </x:c>
      <x:c r="E68" s="80" t="str">
        <x:v>Rejections appear in the prompt with engine error message/code; successful events are redacted for the current side and capped at 240 entries.</x:v>
      </x:c>
      <x:c r="F68" s="80" t="str">
        <x:v>/play.html</x:v>
      </x:c>
      <x:c r="G68" s="80" t="str">
        <x:v>Player; action or state transition occurs</x:v>
      </x:c>
      <x:c r="H68" s="80" t="str">
        <x:v>Read the Log and live actionFx announcements</x:v>
      </x:c>
      <x:c r="I68" s="80" t="str">
        <x:v>client.test.mjs: “an illegal action…” and action-FX tests; engine.test.mjs: event redaction/hash tests Final: RUN-015 JavaScript suite; RUN-017 browser/mobile matrix; RUN-018 two-client match where applicable.</x:v>
      </x:c>
      <x:c r="J68" s="80" t="str">
        <x:v>Pass</x:v>
      </x:c>
      <x:c r="K68" s="80" t="str">
        <x:v>Pass</x:v>
      </x:c>
      <x:c r="L68" s="139" t="n">
        <x:v>46254.5</x:v>
      </x:c>
      <x:c r="M68" s="80"/>
      <x:c r="N68" s="80" t="str">
        <x:v>The UI stores lastErrorCode but only renders the message; users cannot inspect the machine-readable code (possible support/logistics gap). Final disposition: expected behaviour passed through grouped executable checks and code-backed inspection. Evidence: RUN-015 JavaScript suite; RUN-017 browser/mobile matrix; RUN-018 two-client match where applicable.</x:v>
      </x:c>
      <x:c r="O68" s="80" t="str">
        <x:v>site/play.js:95-150,218-797,2273-2585; site/play.html:936-987</x:v>
      </x:c>
    </x:row>
    <x:row r="69" ht="32.400001525878906" hidden="0" customHeight="1">
      <x:c r="A69" s="80" t="str">
        <x:v>GP-022</x:v>
      </x:c>
      <x:c r="B69" s="80" t="str">
        <x:v>Gameplay</x:v>
      </x:c>
      <x:c r="C69" s="80" t="str">
        <x:v>Player</x:v>
      </x:c>
      <x:c r="D69" s="80" t="str">
        <x:v>As a player, I can use local card-face path/Blossom fallback, reject non-http(s) remote profile pictures, cache profile misses, and preserve names when no relay/art resolver exists.</x:v>
      </x:c>
      <x:c r="E69" s="80" t="str">
        <x:v>Player; card art or profile picture is unavailable. Use local card-face path/Blossom fallback, reject non-http(s) remote profile pictures, cache profile misses, and preserve names when no relay/art resolver exists.</x:v>
      </x:c>
      <x:c r="F69" s="80" t="str">
        <x:v>/play.html</x:v>
      </x:c>
      <x:c r="G69" s="80" t="str">
        <x:v>Player; card art or profile picture is unavailable</x:v>
      </x:c>
      <x:c r="H69" s="80" t="str">
        <x:v>Use local card-face path/Blossom fallback, reject non-http(s) remote profile pictures, cache profile misses, and preserve names when no relay/art resolver exists.</x:v>
      </x:c>
      <x:c r="I69" s="80" t="str">
        <x:v>napplet.test.mjs: resource fallback/cache; client.test.mjs: profile/identity tests Final: RUN-015 JavaScript suite; RUN-017 browser/mobile matrix; RUN-018 two-client match where applicable.</x:v>
      </x:c>
      <x:c r="J69" s="80" t="str">
        <x:v>Pass</x:v>
      </x:c>
      <x:c r="K69" s="80" t="str">
        <x:v>Pass</x:v>
      </x:c>
      <x:c r="L69" s="139" t="n">
        <x:v>46254.5</x:v>
      </x:c>
      <x:c r="M69" s="80"/>
      <x:c r="N69" s="80" t="str">
        <x:v>None found statically. Final disposition: expected behaviour passed through grouped executable checks and code-backed inspection. Evidence: RUN-015 JavaScript suite; RUN-017 browser/mobile matrix; RUN-018 two-client match where applicable.</x:v>
      </x:c>
      <x:c r="O69" s="80" t="str">
        <x:v>site/play.js:827-919; site/napplet.js:241-298</x:v>
      </x:c>
    </x:row>
    <x:row r="70" ht="32.400001525878906" hidden="0" customHeight="1">
      <x:c r="A70" s="80" t="str">
        <x:v>GP-023</x:v>
      </x:c>
      <x:c r="B70" s="80" t="str">
        <x:v>Gameplay</x:v>
      </x:c>
      <x:c r="C70" s="80" t="str">
        <x:v>Player</x:v>
      </x:c>
      <x:c r="D70" s="80" t="str">
        <x:v>As a player, I can never see opponent Wallet identities, hidden Stack contents, hidden seeds, or face-down Cold details; a spectator sees public counts and cannot act.</x:v>
      </x:c>
      <x:c r="E70" s="80" t="str">
        <x:v>Owner can see own hidden zones and the same view is idempotent on rerender.</x:v>
      </x:c>
      <x:c r="F70" s="80" t="str">
        <x:v>/play.html</x:v>
      </x:c>
      <x:c r="G70" s="80" t="str">
        <x:v>Player; remote or hotseat view</x:v>
      </x:c>
      <x:c r="H70" s="80" t="str">
        <x:v>Never see opponent Wallet identities, hidden Stack contents, hidden seeds, or face-down Cold details; a spectator sees public counts and cannot act</x:v>
      </x:c>
      <x:c r="I70" s="80" t="str">
        <x:v>engine.test.mjs: “view hides both Stacks…”; “view is idempotent…”; “face-down Cold…”; net.test.mjs: fog-of-war/spectator tests Final: RUN-015 JavaScript suite; RUN-017 browser/mobile matrix; RUN-018 two-client match where applicable.</x:v>
      </x:c>
      <x:c r="J70" s="80" t="str">
        <x:v>Pass</x:v>
      </x:c>
      <x:c r="K70" s="80" t="str">
        <x:v>Pass</x:v>
      </x:c>
      <x:c r="L70" s="139" t="n">
        <x:v>46254.5</x:v>
      </x:c>
      <x:c r="M70" s="80"/>
      <x:c r="N70" s="80" t="str">
        <x:v>None found statically. Final disposition: expected behaviour passed through grouped executable checks and code-backed inspection. Evidence: RUN-015 JavaScript suite; RUN-017 browser/mobile matrix; RUN-018 two-client match where applicable.</x:v>
      </x:c>
      <x:c r="O70" s="80" t="str">
        <x:v>site/engine.js:6674-6871; site/play.js:64-91,100-107</x:v>
      </x:c>
    </x:row>
    <x:row r="71" ht="54" hidden="0" customHeight="1">
      <x:c r="A71" s="80" t="str">
        <x:v>GP-024</x:v>
      </x:c>
      <x:c r="B71" s="80" t="str">
        <x:v>Gameplay</x:v>
      </x:c>
      <x:c r="C71" s="80" t="str">
        <x:v>Player</x:v>
      </x:c>
      <x:c r="D71" s="80" t="str">
        <x:v>As a player, I can see canplay, canact, and canattack affordances and corresponding aria text.</x:v>
      </x:c>
      <x:c r="E71" s="80" t="str">
        <x:v>The glow reflects current phase, turn, payment, commitment, and engine legality rather than only printed cost.</x:v>
      </x:c>
      <x:c r="F71" s="80" t="str">
        <x:v>/play.html</x:v>
      </x:c>
      <x:c r="G71" s="80" t="str">
        <x:v>Player; a card is playable/activatable/attackable</x:v>
      </x:c>
      <x:c r="H71" s="80" t="str">
        <x:v>See canplay, canact, and canattack affordances and corresponding aria text</x:v>
      </x:c>
      <x:c r="I71" s="80" t="str">
        <x:v>engine.test.mjs: payment/attack/block tests; client.test.mjs: target/clash UI tests Final: RUN-015 JavaScript suite; RUN-017 browser/mobile matrix; RUN-018 two-client match where applicable.</x:v>
      </x:c>
      <x:c r="J71" s="80" t="str">
        <x:v>Pass</x:v>
      </x:c>
      <x:c r="K71" s="80" t="str">
        <x:v>Pass</x:v>
      </x:c>
      <x:c r="L71" s="139" t="n">
        <x:v>46254.5</x:v>
      </x:c>
      <x:c r="M71" s="80"/>
      <x:c r="N71" s="80" t="str">
        <x:v>Resource glow checks allowance but can be optimistic about the card’s exact legal state until clicked; reducer remains the safety net. Final disposition: expected behaviour passed through grouped executable checks and code-backed inspection. Evidence: RUN-015 JavaScript suite; RUN-017 browser/mobile matrix; RUN-018 two-client match where applicable.</x:v>
      </x:c>
      <x:c r="O71" s="80" t="str">
        <x:v>site/play.js:1497-1780; site/engine.js:1275-1453,4955-5060</x:v>
      </x:c>
    </x:row>
    <x:row r="72" ht="32.400001525878906" hidden="0" customHeight="1">
      <x:c r="A72" s="80" t="str">
        <x:v>GP-025</x:v>
      </x:c>
      <x:c r="B72" s="80" t="str">
        <x:v>Gameplay</x:v>
      </x:c>
      <x:c r="C72" s="80" t="str">
        <x:v>Active player</x:v>
      </x:c>
      <x:c r="D72" s="80" t="str">
        <x:v>As an active player, I can start game and press Continue through Unlock, Maintenance, Draw.</x:v>
      </x:c>
      <x:c r="E72" s="80" t="str">
        <x:v>The engine opens the first turn, unlocks required Resources, applies maintenance/triggers, draws, then exposes Build I.</x:v>
      </x:c>
      <x:c r="F72" s="80" t="str">
        <x:v>/play.html</x:v>
      </x:c>
      <x:c r="G72" s="80" t="str">
        <x:v>Active player; opening state</x:v>
      </x:c>
      <x:c r="H72" s="80" t="str">
        <x:v>Start game and press Continue through Unlock, Maintenance, Draw</x:v>
      </x:c>
      <x:c r="I72" s="80" t="str">
        <x:v>engine.test.mjs: “§9 the eight-step turn structure…”; triggers.test.mjs: Uptime Clock Final: RUN-015 JavaScript suite; RUN-017 browser/mobile matrix; RUN-018 two-client match where applicable.</x:v>
      </x:c>
      <x:c r="J72" s="80" t="str">
        <x:v>Pass</x:v>
      </x:c>
      <x:c r="K72" s="80" t="str">
        <x:v>Pass</x:v>
      </x:c>
      <x:c r="L72" s="139" t="n">
        <x:v>46254.5</x:v>
      </x:c>
      <x:c r="M72" s="80"/>
      <x:c r="N72" s="80" t="str">
        <x:v>None found statically. Final disposition: expected behaviour passed through grouped executable checks and code-backed inspection. Evidence: RUN-015 JavaScript suite; RUN-017 browser/mobile matrix; RUN-018 two-client match where applicable.</x:v>
      </x:c>
      <x:c r="O72" s="80" t="str">
        <x:v>site/engine.js:657-675,4417-4790; site/play.js:2892-3125,3275-3362</x:v>
      </x:c>
    </x:row>
    <x:row r="73" ht="54" hidden="0" customHeight="1">
      <x:c r="A73" s="80" t="str">
        <x:v>GP-026</x:v>
      </x:c>
      <x:c r="B73" s="80" t="str">
        <x:v>Gameplay</x:v>
      </x:c>
      <x:c r="C73" s="80" t="str">
        <x:v>Active player</x:v>
      </x:c>
      <x:c r="D73" s="80" t="str">
        <x:v>As an active player, I can select required/selectable Network Resources and Continue.</x:v>
      </x:c>
      <x:c r="E73" s="80" t="str">
        <x:v>Required cards cannot be removed; caps and exact selection are validated and the selected cards become available for the turn.</x:v>
      </x:c>
      <x:c r="F73" s="80" t="str">
        <x:v>/play.html</x:v>
      </x:c>
      <x:c r="G73" s="80" t="str">
        <x:v>Active player; Unlock awaiting</x:v>
      </x:c>
      <x:c r="H73" s="80" t="str">
        <x:v>Select required/selectable Network Resources and Continue</x:v>
      </x:c>
      <x:c r="I73" s="80" t="str">
        <x:v>client.test.mjs: “mandatory unlock cards cannot be toggled out…”; engine.test.mjs: turn/unlock cases Final: RUN-015 JavaScript suite; RUN-017 browser/mobile matrix; RUN-018 two-client match where applicable.</x:v>
      </x:c>
      <x:c r="J73" s="80" t="str">
        <x:v>Pass</x:v>
      </x:c>
      <x:c r="K73" s="80" t="str">
        <x:v>Pass</x:v>
      </x:c>
      <x:c r="L73" s="139" t="n">
        <x:v>46254.5</x:v>
      </x:c>
      <x:c r="M73" s="80"/>
      <x:c r="N73" s="80" t="str">
        <x:v>The UI allows an empty optional selection and falls back to required cards; this matches reducer semantics but is not stated in the prompt. Final disposition: expected behaviour passed through grouped executable checks and code-backed inspection. Evidence: RUN-015 JavaScript suite; RUN-017 browser/mobile matrix; RUN-018 two-client match where applicable.</x:v>
      </x:c>
      <x:c r="O73" s="80" t="str">
        <x:v>site/play.js:3018-3047,3326-3329; site/engine.js:5896-5922</x:v>
      </x:c>
    </x:row>
    <x:row r="74" ht="32.400001525878906" hidden="0" customHeight="1">
      <x:c r="A74" s="80" t="str">
        <x:v>GP-027</x:v>
      </x:c>
      <x:c r="B74" s="80" t="str">
        <x:v>Gameplay</x:v>
      </x:c>
      <x:c r="C74" s="80" t="str">
        <x:v>Active player</x:v>
      </x:c>
      <x:c r="D74" s="80" t="str">
        <x:v>As an active player, I can continue to draw; when a protection/draw-replacement choice is raised, choose Draw or Skip.</x:v>
      </x:c>
      <x:c r="E74" s="80" t="str">
        <x:v>Draw respects Stack exhaustion/decked-out result; Skip grants the advertised attack shield.</x:v>
      </x:c>
      <x:c r="F74" s="80" t="str">
        <x:v>/play.html</x:v>
      </x:c>
      <x:c r="G74" s="80" t="str">
        <x:v>Active player; Draw step</x:v>
      </x:c>
      <x:c r="H74" s="80" t="str">
        <x:v>Continue to draw; when a protection/draw-replacement choice is raised, choose Draw or Skip</x:v>
      </x:c>
      <x:c r="I74" s="80" t="str">
        <x:v>engine.test.mjs: decked-out/endgame; wave10.test.mjs: “Offline Sanctuary offers a draw replacement…” Final: RUN-015 JavaScript suite; RUN-017 browser/mobile matrix; RUN-018 two-client match where applicable.</x:v>
      </x:c>
      <x:c r="J74" s="80" t="str">
        <x:v>Pass</x:v>
      </x:c>
      <x:c r="K74" s="80" t="str">
        <x:v>Pass</x:v>
      </x:c>
      <x:c r="L74" s="139" t="n">
        <x:v>46254.5</x:v>
      </x:c>
      <x:c r="M74" s="80"/>
      <x:c r="N74" s="80" t="str">
        <x:v>None found statically. Final disposition: expected behaviour passed through grouped executable checks and code-backed inspection. Evidence: RUN-015 JavaScript suite; RUN-017 browser/mobile matrix; RUN-018 two-client match where applicable.</x:v>
      </x:c>
      <x:c r="O74" s="80" t="str">
        <x:v>site/play.js:2912-3047,3088-3104; site/engine.js:4500-4660,5924-5939,1893-1924</x:v>
      </x:c>
    </x:row>
    <x:row r="75" ht="54" hidden="0" customHeight="1">
      <x:c r="A75" s="80" t="str">
        <x:v>GP-028</x:v>
      </x:c>
      <x:c r="B75" s="80" t="str">
        <x:v>Gameplay</x:v>
      </x:c>
      <x:c r="C75" s="80" t="str">
        <x:v>Active player</x:v>
      </x:c>
      <x:c r="D75" s="80" t="str">
        <x:v>As an active player, I can continue through maintenance and phase changes.</x:v>
      </x:c>
      <x:c r="E75" s="80" t="str">
        <x:v>Uptime/maintenance triggers resolve, and both seats’ unspent Buffers burn at every boundary/clash boundary with visible BURN events.</x:v>
      </x:c>
      <x:c r="F75" s="80" t="str">
        <x:v>/play.html</x:v>
      </x:c>
      <x:c r="G75" s="80" t="str">
        <x:v>Active player; Maintenance/phase boundary</x:v>
      </x:c>
      <x:c r="H75" s="80" t="str">
        <x:v>Continue through maintenance and phase changes</x:v>
      </x:c>
      <x:c r="I75" s="80" t="str">
        <x:v>engine.test.mjs: “§12.1 BOTH Buffers burn…”; triggers.test.mjs: maintenance triggers Final: RUN-015 JavaScript suite; RUN-017 browser/mobile matrix; RUN-018 two-client match where applicable.</x:v>
      </x:c>
      <x:c r="J75" s="80" t="str">
        <x:v>Pass</x:v>
      </x:c>
      <x:c r="K75" s="80" t="str">
        <x:v>Pass</x:v>
      </x:c>
      <x:c r="L75" s="139" t="n">
        <x:v>46254.5</x:v>
      </x:c>
      <x:c r="M75" s="80"/>
      <x:c r="N75" s="80" t="str">
        <x:v>The End-turn button now says “burns N”, but the first-click phase auto-advance helper stops and asks the player to Continue when a Buffer is held; this is safe but may be surprising. Final disposition: expected behaviour passed through grouped executable checks and code-backed inspection. Evidence: RUN-015 JavaScript suite; RUN-017 browser/mobile matrix; RUN-018 two-client match where applicable.</x:v>
      </x:c>
      <x:c r="O75" s="80" t="str">
        <x:v>site/engine.js:1270-1453,4417-4790; site/play.js:978-989,1782-1817,218-797</x:v>
      </x:c>
    </x:row>
    <x:row r="76" ht="32.400001525878906" hidden="0" customHeight="1">
      <x:c r="A76" s="80" t="str">
        <x:v>GP-029</x:v>
      </x:c>
      <x:c r="B76" s="80" t="str">
        <x:v>Gameplay</x:v>
      </x:c>
      <x:c r="C76" s="80" t="str">
        <x:v>Active player</x:v>
      </x:c>
      <x:c r="D76" s="80" t="str">
        <x:v>As an active player, I can click a Basic Resource in Wallet.</x:v>
      </x:c>
      <x:c r="E76" s="80" t="str">
        <x:v>Exactly one Resource play is allowed per turn unless a card modifies the allowance; the card moves to Network, generates its effect, and priority remains with the player.</x:v>
      </x:c>
      <x:c r="F76" s="80" t="str">
        <x:v>/play.html</x:v>
      </x:c>
      <x:c r="G76" s="80" t="str">
        <x:v>Active player; Build I/II and empty Queue</x:v>
      </x:c>
      <x:c r="H76" s="80" t="str">
        <x:v>Click a Basic Resource in Wallet</x:v>
      </x:c>
      <x:c r="I76" s="80" t="str">
        <x:v>engine.test.mjs: “§5.1 the Resource play is once per turn…”; wave8.test.mjs: Fast Channel Final: RUN-015 JavaScript suite; RUN-017 browser/mobile matrix; RUN-018 two-client match where applicable.</x:v>
      </x:c>
      <x:c r="J76" s="80" t="str">
        <x:v>Pass</x:v>
      </x:c>
      <x:c r="K76" s="80" t="str">
        <x:v>Pass</x:v>
      </x:c>
      <x:c r="L76" s="139" t="n">
        <x:v>46254.5</x:v>
      </x:c>
      <x:c r="M76" s="80"/>
      <x:c r="N76" s="80" t="str">
        <x:v>None found statically. Final disposition: expected behaviour passed through grouped executable checks and code-backed inspection. Evidence: RUN-015 JavaScript suite; RUN-017 browser/mobile matrix; RUN-018 two-client match where applicable.</x:v>
      </x:c>
      <x:c r="O76" s="80" t="str">
        <x:v>site/play.js:1256-1260,971-995; site/engine.js:5390-5416</x:v>
      </x:c>
    </x:row>
    <x:row r="77" ht="54" hidden="0" customHeight="1">
      <x:c r="A77" s="80" t="str">
        <x:v>GP-030</x:v>
      </x:c>
      <x:c r="B77" s="80" t="str">
        <x:v>Gameplay</x:v>
      </x:c>
      <x:c r="C77" s="80" t="str">
        <x:v>Active player</x:v>
      </x:c>
      <x:c r="D77" s="80" t="str">
        <x:v>As an active player, I can click card, choose mode/X if required, target if required, and submit.</x:v>
      </x:c>
      <x:c r="E77" s="80" t="str">
        <x:v>Exact Buffer payment/tax/commit requirements are checked; card enters Queue, remains inspectable, and resolves only after priority passes.</x:v>
      </x:c>
      <x:c r="F77" s="80" t="str">
        <x:v>/play.html</x:v>
      </x:c>
      <x:c r="G77" s="80" t="str">
        <x:v>Active player; affordable non-Resource in Build</x:v>
      </x:c>
      <x:c r="H77" s="80" t="str">
        <x:v>Click card, choose mode/X if required, target if required, and submit</x:v>
      </x:c>
      <x:c r="I77" s="80" t="str">
        <x:v>client.test.mjs: target/X tests; engine.test.mjs: payment/Queue cases; wave7.test.mjs: modal card modes Final: RUN-015 JavaScript suite; RUN-017 browser/mobile matrix; RUN-018 two-client match where applicable.</x:v>
      </x:c>
      <x:c r="J77" s="80" t="str">
        <x:v>Pass</x:v>
      </x:c>
      <x:c r="K77" s="80" t="str">
        <x:v>Pass</x:v>
      </x:c>
      <x:c r="L77" s="139" t="n">
        <x:v>46254.5</x:v>
      </x:c>
      <x:c r="M77" s="80"/>
      <x:c r="N77" s="80" t="str">
        <x:v>playAdvancing can advance empty-buffer early phases automatically, but does not do so remotely; the same click has different latency/phase behavior in local versus network play (suspected UX inconsistency). Final disposition: expected behaviour passed through grouped executable checks and code-backed inspection. Evidence: RUN-015 JavaScript suite; RUN-017 browser/mobile matrix; RUN-018 two-client match where applicable.</x:v>
      </x:c>
      <x:c r="O77" s="80" t="str">
        <x:v>site/play.js:1256-1344,2892-3047; site/engine.js:5418-5523,6337-6377</x:v>
      </x:c>
    </x:row>
    <x:row r="78" ht="43.20000076293945" hidden="0" customHeight="1">
      <x:c r="A78" s="80" t="str">
        <x:v>GP-031</x:v>
      </x:c>
      <x:c r="B78" s="80" t="str">
        <x:v>Gameplay</x:v>
      </x:c>
      <x:c r="C78" s="80" t="str">
        <x:v>Active player</x:v>
      </x:c>
      <x:c r="D78" s="80" t="str">
        <x:v>As an active player, I can open card detail/inspector or context menu and activate a scripted ability, Resource ability, or tribal granted ability.</x:v>
      </x:c>
      <x:c r="E78" s="80" t="str">
        <x:v>Resource abilities resolve immediately; regular abilities pay/commit and use Queue; granted abilities identify grantor and obey engine legality.</x:v>
      </x:c>
      <x:c r="F78" s="80" t="str">
        <x:v>/play.html</x:v>
      </x:c>
      <x:c r="G78" s="80" t="str">
        <x:v>Active player; Network permanent with ability</x:v>
      </x:c>
      <x:c r="H78" s="80" t="str">
        <x:v>Open card detail/inspector or context menu and activate a scripted ability, Resource ability, or tribal granted ability</x:v>
      </x:c>
      <x:c r="I78" s="80" t="str">
        <x:v>engine.test.mjs: Resource ability; wave9.test.mjs: simple Hardware activations; wave12.test.mjs: granted ability Final: RUN-015 JavaScript suite; RUN-017 browser/mobile matrix; RUN-018 two-client match where applicable.</x:v>
      </x:c>
      <x:c r="J78" s="80" t="str">
        <x:v>Pass</x:v>
      </x:c>
      <x:c r="K78" s="80" t="str">
        <x:v>Pass</x:v>
      </x:c>
      <x:c r="L78" s="139" t="n">
        <x:v>46254.5</x:v>
      </x:c>
      <x:c r="M78" s="80"/>
      <x:c r="N78" s="80" t="str">
        <x:v>Manual/junction abilities are intentionally not direct activations; they become proposals (GP-050). Final disposition: expected behaviour passed through grouped executable checks and code-backed inspection. Evidence: RUN-015 JavaScript suite; RUN-017 browser/mobile matrix; RUN-018 two-client match where applicable.</x:v>
      </x:c>
      <x:c r="O78" s="80" t="str">
        <x:v>site/play.js:1102-1147,1201-1252,1346-1372; site/engine.js:5525-5644</x:v>
      </x:c>
    </x:row>
    <x:row r="79" ht="54" hidden="0" customHeight="1">
      <x:c r="A79" s="80" t="str">
        <x:v>GP-032</x:v>
      </x:c>
      <x:c r="B79" s="80" t="str">
        <x:v>Gameplay</x:v>
      </x:c>
      <x:c r="C79" s="80" t="str">
        <x:v>Player</x:v>
      </x:c>
      <x:c r="D79" s="80" t="str">
        <x:v>As a player, I can press Continue, click Queue, or press Space.</x:v>
      </x:c>
      <x:c r="E79" s="80" t="str">
        <x:v>Priority passes; pending Queue items/choices/triggers resolve in order, with a human-readable prompt for the next decision.</x:v>
      </x:c>
      <x:c r="F79" s="80" t="str">
        <x:v>/play.html</x:v>
      </x:c>
      <x:c r="G79" s="80" t="str">
        <x:v>Player; Queue has a card/trigger</x:v>
      </x:c>
      <x:c r="H79" s="80" t="str">
        <x:v>Press Continue, click Queue, or press Space</x:v>
      </x:c>
      <x:c r="I79" s="80" t="str">
        <x:v>client.test.mjs: Queue rendering; engine.test.mjs: Queue/replay/trigger cases Final: RUN-015 JavaScript suite; RUN-017 browser/mobile matrix; RUN-018 two-client match where applicable.</x:v>
      </x:c>
      <x:c r="J79" s="80" t="str">
        <x:v>Pass</x:v>
      </x:c>
      <x:c r="K79" s="80" t="str">
        <x:v>Pass</x:v>
      </x:c>
      <x:c r="L79" s="139" t="n">
        <x:v>46254.5</x:v>
      </x:c>
      <x:c r="M79" s="80"/>
      <x:c r="N79" s="80" t="str">
        <x:v>Space is suppressed in inputs/buttons/dialogs/context menus, but browser-level shortcut conflicts are possible (minor UX concern). Final disposition: expected behaviour passed through grouped executable checks and code-backed inspection. Evidence: RUN-015 JavaScript suite; RUN-017 browser/mobile matrix; RUN-018 two-client match where applicable.</x:v>
      </x:c>
      <x:c r="O79" s="80" t="str">
        <x:v>site/play.html:913-918,938-940; site/play.js:2892-3362,4381-4406; site/engine.js:4683-4790,5840-5894</x:v>
      </x:c>
    </x:row>
    <x:row r="80" ht="54" hidden="0" customHeight="1">
      <x:c r="A80" s="80" t="str">
        <x:v>GP-033</x:v>
      </x:c>
      <x:c r="B80" s="80" t="str">
        <x:v>Gameplay</x:v>
      </x:c>
      <x:c r="C80" s="80" t="str">
        <x:v>Active player</x:v>
      </x:c>
      <x:c r="D80" s="80" t="str">
        <x:v>As an active player, I can press End turn.</x:v>
      </x:c>
      <x:c r="E80" s="80" t="str">
        <x:v>Local hotseat emits a bounded burst of PASS_PRIORITY actions and stops on a decision/turn change/rejection; remote sends one action and waits for the referee.</x:v>
      </x:c>
      <x:c r="F80" s="80" t="str">
        <x:v>/play.html</x:v>
      </x:c>
      <x:c r="G80" s="80" t="str">
        <x:v>Active player; ready to finish turn</x:v>
      </x:c>
      <x:c r="H80" s="80" t="str">
        <x:v>Press End turn</x:v>
      </x:c>
      <x:c r="I80" s="80" t="str">
        <x:v>engine.test.mjs: phase/priority; net.test.mjs: same-seq and remote action tests Final: RUN-015 JavaScript suite; RUN-017 browser/mobile matrix; RUN-018 two-client match where applicable.</x:v>
      </x:c>
      <x:c r="J80" s="80" t="str">
        <x:v>Pass</x:v>
      </x:c>
      <x:c r="K80" s="80" t="str">
        <x:v>Pass</x:v>
      </x:c>
      <x:c r="L80" s="139" t="n">
        <x:v>46254.5</x:v>
      </x:c>
      <x:c r="M80" s="80"/>
      <x:c r="N80" s="80" t="str">
        <x:v>“End turn” is still enabled while awaiting some local choices but stops safely; wording could distinguish “pass priority” from “confirm choice”. Final disposition: expected behaviour passed through grouped executable checks and code-backed inspection. Evidence: RUN-015 JavaScript suite; RUN-017 browser/mobile matrix; RUN-018 two-client match where applicable.</x:v>
      </x:c>
      <x:c r="O80" s="80" t="str">
        <x:v>site/play.js:1782-1817,3274-3362,4338-4354; site/engine.js:5265-5306</x:v>
      </x:c>
    </x:row>
    <x:row r="81" ht="54" hidden="0" customHeight="1">
      <x:c r="A81" s="80" t="str">
        <x:v>GP-034</x:v>
      </x:c>
      <x:c r="B81" s="80" t="str">
        <x:v>Gameplay</x:v>
      </x:c>
      <x:c r="C81" s="80" t="str">
        <x:v>Player</x:v>
      </x:c>
      <x:c r="D81" s="80" t="str">
        <x:v>As a player, I can choose the exact cards to discard at Cleanup.</x:v>
      </x:c>
      <x:c r="E81" s="80" t="str">
        <x:v>The UI defaults to the first over-limit cards; engine requires exact discard count and archives selected cards.</x:v>
      </x:c>
      <x:c r="F81" s="80" t="str">
        <x:v>/play.html</x:v>
      </x:c>
      <x:c r="G81" s="80" t="str">
        <x:v>Player; hand exceeds limit</x:v>
      </x:c>
      <x:c r="H81" s="80" t="str">
        <x:v>At Cleanup, choose cards or Continue</x:v>
      </x:c>
      <x:c r="I81" s="80" t="str">
        <x:v>engine.test.mjs: “the hand limit is a player decision…” Final: RUN-015 JavaScript suite; RUN-017 browser/mobile matrix; RUN-018 two-client match where applicable.</x:v>
      </x:c>
      <x:c r="J81" s="80" t="str">
        <x:v>Pass</x:v>
      </x:c>
      <x:c r="K81" s="80" t="str">
        <x:v>Pass</x:v>
      </x:c>
      <x:c r="L81" s="139" t="n">
        <x:v>46254.5</x:v>
      </x:c>
      <x:c r="M81" s="80"/>
      <x:c r="N81" s="80" t="str">
        <x:v>Defaulting to first cards can discard a valuable card if the user presses Continue without reviewing; this is a suspected UX hazard. Final disposition: expected behaviour passed through grouped executable checks and code-backed inspection. Evidence: RUN-015 JavaScript suite; RUN-017 browser/mobile matrix; RUN-018 two-client match where applicable.</x:v>
      </x:c>
      <x:c r="O81" s="80" t="str">
        <x:v>site/play.js:3018-3047,3314-3318; site/engine.js:500-518,6045-6064</x:v>
      </x:c>
    </x:row>
    <x:row r="82" ht="32.400001525878906" hidden="0" customHeight="1">
      <x:c r="A82" s="80" t="str">
        <x:v>GP-035</x:v>
      </x:c>
      <x:c r="B82" s="80" t="str">
        <x:v>Gameplay</x:v>
      </x:c>
      <x:c r="C82" s="80" t="str">
        <x:v>Player</x:v>
      </x:c>
      <x:c r="D82" s="80" t="str">
        <x:v>As a player, I can read pending trigger prompt, choose/order all required trigger IDs, and Continue.</x:v>
      </x:c>
      <x:c r="E82" s="80" t="str">
        <x:v>Engine rejects incomplete/foreign order and resumes Queue only after every required trigger is named.</x:v>
      </x:c>
      <x:c r="F82" s="80" t="str">
        <x:v>/play.html</x:v>
      </x:c>
      <x:c r="G82" s="80" t="str">
        <x:v>Player; trigger order is pending</x:v>
      </x:c>
      <x:c r="H82" s="80" t="str">
        <x:v>Read pending trigger prompt, choose/order all required trigger IDs, and Continue</x:v>
      </x:c>
      <x:c r="I82" s="80" t="str">
        <x:v>triggers.test.mjs: trigger queue/public records/fizzle tests; engine.test.mjs: view trigger tests Final: RUN-015 JavaScript suite; RUN-017 browser/mobile matrix; RUN-018 two-client match where applicable.</x:v>
      </x:c>
      <x:c r="J82" s="80" t="str">
        <x:v>Pass</x:v>
      </x:c>
      <x:c r="K82" s="80" t="str">
        <x:v>Pass</x:v>
      </x:c>
      <x:c r="L82" s="139" t="n">
        <x:v>46254.5</x:v>
      </x:c>
      <x:c r="M82" s="80"/>
      <x:c r="N82" s="80" t="str">
        <x:v>None found statically. Final disposition: expected behaviour passed through grouped executable checks and code-backed inspection. Evidence: RUN-015 JavaScript suite; RUN-017 browser/mobile matrix; RUN-018 two-client match where applicable.</x:v>
      </x:c>
      <x:c r="O82" s="80" t="str">
        <x:v>site/play.js:3319-3325; site/engine.js:4860-4948,5878-5894; site/engine.js:6722-6871</x:v>
      </x:c>
    </x:row>
    <x:row r="83" ht="291.6000061035156" hidden="0" customHeight="1">
      <x:c r="A83" s="80" t="str">
        <x:v>GP-036</x:v>
      </x:c>
      <x:c r="B83" s="80" t="str">
        <x:v>Gameplay</x:v>
      </x:c>
      <x:c r="C83" s="80" t="str">
        <x:v>Player</x:v>
      </x:c>
      <x:c r="D83" s="80" t="str">
        <x:v>As a player, I can resolve every declarative card operation without executing arbitrary metadata code.</x:v>
      </x:c>
      <x:c r="E83" s="80" t="str">
        <x:v>The expected user-visible result is a resolved Queue item, state event(s), and any further choice prompt, with no arbitrary JavaScript execution from card metadata.</x:v>
      </x:c>
      <x:c r="F83" s="80" t="str">
        <x:v>/play.html</x:v>
      </x:c>
      <x:c r="G83" s="80" t="str">
        <x:v>Player; card effect resolves</x:v>
      </x:c>
      <x:c r="H83" s="80" t="str">
        <x:v>Across the 295-card catalog, declarative operations perform the following through runOp: generation and resource conversion (generate, uptime, draw, discard, searchStack, generateEventAffinity); payment/Buffer (mayPay, drainBuffer, stealGeneratedBuffer, generateArchivedCost, feeSpike, maintenanceLeak); combat (damage, pump, prevent, preventClashDamage, limitClashDamage, redirectDamage, redirectSelfDamage, preventAndRefund, divideDamage, finalSettlement); movement/lifecycle (decommission, reboot, bounce, moveTop, coldStorage, resetZones, discardWalletDraw, moveObject, archiveBoot, archiveReturn, launchAvatar, resourceTombstone); state/effects (grant, unlock, commit, toggleCommitted, unlockSelf, unlockAttached, setAffinity, setAffinityWhileSource, setAffinityWhileSource, addCounter, overclock, refillCounter, loseHalfUptime, extraTurn, delayDecommissionEventAvatar); targeting/keywords (forceBlockAll, cantBeBlocked, becomesAvatar, forceAttackTarget, groundAttachedBroadcast, guardianSignal, grantUptimeResourceAbility, grantKeyword); special scripted cards (createProxy, stakeContract, stakeSwap, stateMirror, archiveSelfIfNoAvatars, additionalArchiveAvatar, fairState, rewriteWords, callToRelay, gridEruption, committedGrowth, uptimeChannel, selfCustodyMaintenance, resourceReclaimer, routeMisdirection, topologyScan, identityMask, migrateAttachment, digitalToss, copyQueue, stakeArbitration, sovereignMode, chooseAffinityOnEnter, copyOnEnter, adaptiveCopy, splitRoute, obfuscatedFormation)</x:v>
      </x:c>
      <x:c r="I83" s="80" t="str">
        <x:v>wave2–wave12, triggers.test.mjs, wave11.test.mjs: “every operation emitted … has a runOp case” Final: RUN-015 JavaScript suite; RUN-017 browser/mobile matrix; RUN-018 two-client match where applicable.</x:v>
      </x:c>
      <x:c r="J83" s="80" t="str">
        <x:v>Pass</x:v>
      </x:c>
      <x:c r="K83" s="80" t="str">
        <x:v>Pass</x:v>
      </x:c>
      <x:c r="L83" s="139" t="n">
        <x:v>46254.5</x:v>
      </x:c>
      <x:c r="M83" s="80"/>
      <x:c r="N83" s="80" t="str">
        <x:v>The UI’s generic manual opsText prints raw operation keys/JSON for proposals; this is useful for audit but not beginner-friendly (suspected UX defect). Final disposition: expected behaviour passed through grouped executable checks and code-backed inspection. Evidence: RUN-015 JavaScript suite; RUN-017 browser/mobile matrix; RUN-018 two-client match where applicable.</x:v>
      </x:c>
      <x:c r="O83" s="80" t="str">
        <x:v>site/play-data.js:1-4; site/engine.js:249-632,2248-3650; site/play.js:218-797</x:v>
      </x:c>
    </x:row>
    <x:row r="84" ht="32.400001525878906" hidden="0" customHeight="1">
      <x:c r="A84" s="80" t="str">
        <x:v>GP-037</x:v>
      </x:c>
      <x:c r="B84" s="80" t="str">
        <x:v>Gameplay</x:v>
      </x:c>
      <x:c r="C84" s="80" t="str">
        <x:v>Player</x:v>
      </x:c>
      <x:c r="D84" s="80" t="str">
        <x:v>As a player, I can resolve bounce, archive, Cold Storage, attachments, proxies, copy-on-enter, Archive Boot/Restore, and orphan cleanup.</x:v>
      </x:c>
      <x:c r="E84" s="80" t="str">
        <x:v>Object IDs are reminted on movement while audit provenance remains engine-only; rendered rails update by live card identity/effects.</x:v>
      </x:c>
      <x:c r="F84" s="80" t="str">
        <x:v>/play.html</x:v>
      </x:c>
      <x:c r="G84" s="80" t="str">
        <x:v>Player; card changes zone or attaches</x:v>
      </x:c>
      <x:c r="H84" s="80" t="str">
        <x:v>Resolve bounce, archive, Cold Storage, attachments, proxies, copy-on-enter, Archive Boot/Restore, and orphan cleanup</x:v>
      </x:c>
      <x:c r="I84" s="80" t="str">
        <x:v>engine.test.mjs: object/view/event anchor tests; waves 4, 8, 11, 12 Final: RUN-015 JavaScript suite; RUN-017 browser/mobile matrix; RUN-018 two-client match where applicable.</x:v>
      </x:c>
      <x:c r="J84" s="80" t="str">
        <x:v>Pass</x:v>
      </x:c>
      <x:c r="K84" s="80" t="str">
        <x:v>Pass</x:v>
      </x:c>
      <x:c r="L84" s="139" t="n">
        <x:v>46254.5</x:v>
      </x:c>
      <x:c r="M84" s="80"/>
      <x:c r="N84" s="80" t="str">
        <x:v>None found statically. Final disposition: expected behaviour passed through grouped executable checks and code-backed inspection. Evidence: RUN-015 JavaScript suite; RUN-017 browser/mobile matrix; RUN-018 two-client match where applicable.</x:v>
      </x:c>
      <x:c r="O84" s="80" t="str">
        <x:v>site/engine.js:721-935,6337-6377; site/play.js:2288-2365; wave4/8/11/12.test.mjs</x:v>
      </x:c>
    </x:row>
    <x:row r="85" ht="32.400001525878906" hidden="0" customHeight="1">
      <x:c r="A85" s="80" t="str">
        <x:v>GP-038</x:v>
      </x:c>
      <x:c r="B85" s="80" t="str">
        <x:v>Gameplay</x:v>
      </x:c>
      <x:c r="C85" s="80" t="str">
        <x:v>Player</x:v>
      </x:c>
      <x:c r="D85" s="80" t="str">
        <x:v>As a player, I can damage, Uptime loss, concession, deck exhaustion, Reboot, Sovereign Mode, and simultaneous losses are checked after actions/triggers.</x:v>
      </x:c>
      <x:c r="E85" s="80" t="str">
        <x:v>A lethal Avatar decommissions unless protected; simultaneous loss is a draw; game over clears pending interactions.</x:v>
      </x:c>
      <x:c r="F85" s="80" t="str">
        <x:v>/play.html</x:v>
      </x:c>
      <x:c r="G85" s="80" t="str">
        <x:v>Player; lethal/state check</x:v>
      </x:c>
      <x:c r="H85" s="80" t="str">
        <x:v>Damage, Uptime loss, concession, deck exhaustion, Reboot, Sovereign Mode, and simultaneous losses are checked after actions/triggers</x:v>
      </x:c>
      <x:c r="I85" s="80" t="str">
        <x:v>engine.test.mjs: simultaneous draw, lethal/Reboot, endgame tests; wave12.test.mjs: Sovereign Mode Final: RUN-015 JavaScript suite; RUN-017 browser/mobile matrix; RUN-018 two-client match where applicable.</x:v>
      </x:c>
      <x:c r="J85" s="80" t="str">
        <x:v>Pass</x:v>
      </x:c>
      <x:c r="K85" s="80" t="str">
        <x:v>Pass</x:v>
      </x:c>
      <x:c r="L85" s="139" t="n">
        <x:v>46254.5</x:v>
      </x:c>
      <x:c r="M85" s="80"/>
      <x:c r="N85" s="80" t="str">
        <x:v>None found statically. Final disposition: expected behaviour passed through grouped executable checks and code-backed inspection. Evidence: RUN-015 JavaScript suite; RUN-017 browser/mobile matrix; RUN-018 two-client match where applicable.</x:v>
      </x:c>
      <x:c r="O85" s="80" t="str">
        <x:v>site/engine.js:1710-1924,1893-1924; site/play.js:3705-3762</x:v>
      </x:c>
    </x:row>
    <x:row r="86" ht="54" hidden="0" customHeight="1">
      <x:c r="A86" s="80" t="str">
        <x:v>GP-039</x:v>
      </x:c>
      <x:c r="B86" s="80" t="str">
        <x:v>Gameplay</x:v>
      </x:c>
      <x:c r="C86" s="80" t="str">
        <x:v>Player</x:v>
      </x:c>
      <x:c r="D86" s="80" t="str">
        <x:v>As a player, I can inspect E1_GAME.hash, publicHash, log, verify; replay the action log.</x:v>
      </x:c>
      <x:c r="E86" s="80" t="str">
        <x:v>The same config/log rebuilds the head hash and detects tampered or malformed entries at the first divergence.</x:v>
      </x:c>
      <x:c r="F86" s="80" t="str">
        <x:v>/play.html</x:v>
      </x:c>
      <x:c r="G86" s="80" t="str">
        <x:v>Player; deterministic transcript</x:v>
      </x:c>
      <x:c r="H86" s="80" t="str">
        <x:v>Inspect E1_GAME.hash, publicHash, log, verify; replay the action log</x:v>
      </x:c>
      <x:c r="I86" s="80" t="str">
        <x:v>engine.test.mjs: replay/head hash, tampered transcript, malformed transcript Final: RUN-015 JavaScript suite; RUN-017 browser/mobile matrix; RUN-018 two-client match where applicable.</x:v>
      </x:c>
      <x:c r="J86" s="80" t="str">
        <x:v>Pass</x:v>
      </x:c>
      <x:c r="K86" s="80" t="str">
        <x:v>Pass</x:v>
      </x:c>
      <x:c r="L86" s="139" t="n">
        <x:v>46254.5</x:v>
      </x:c>
      <x:c r="M86" s="80"/>
      <x:c r="N86" s="80" t="str">
        <x:v>Hotseat session.log is in memory only; browser reload of a local match cannot recover it (suspected persistence gap; remote matches have a separate resume path). Final disposition: expected behaviour passed through grouped executable checks and code-backed inspection. Evidence: RUN-015 JavaScript suite; RUN-017 browser/mobile matrix; RUN-018 two-client match where applicable.</x:v>
      </x:c>
      <x:c r="O86" s="80" t="str">
        <x:v>site/play.js:4449-4472; site/engine.js:6511-6672</x:v>
      </x:c>
    </x:row>
    <x:row r="87" ht="54" hidden="0" customHeight="1">
      <x:c r="A87" s="80" t="str">
        <x:v>GP-040</x:v>
      </x:c>
      <x:c r="B87" s="80" t="str">
        <x:v>Gameplay</x:v>
      </x:c>
      <x:c r="C87" s="80" t="str">
        <x:v>Active player</x:v>
      </x:c>
      <x:c r="D87" s="80" t="str">
        <x:v>As an active player, I can click/keyboard an eligible Network Avatar, drag it toward the opponent, or choose Send all.</x:v>
      </x:c>
      <x:c r="E87" s="80" t="str">
        <x:v>Continue submits one atomic DECLARE_ATTACKERS; engine rejects Wallet/non-Avatar, committed, Boot Delay, dependency, and other illegal attackers.</x:v>
      </x:c>
      <x:c r="F87" s="80" t="str">
        <x:v>/play.html</x:v>
      </x:c>
      <x:c r="G87" s="80" t="str">
        <x:v>Active player; Clash/Attackers awaiting</x:v>
      </x:c>
      <x:c r="H87" s="80" t="str">
        <x:v>Click/keyboard an eligible Network Avatar, drag it toward the opponent, or choose Send all</x:v>
      </x:c>
      <x:c r="I87" s="80" t="str">
        <x:v>engine.test.mjs: attackers only from Network, Boot Delay; client.test.mjs: “attack UI forms…” Final: RUN-015 JavaScript suite; RUN-017 browser/mobile matrix; RUN-018 two-client match where applicable.</x:v>
      </x:c>
      <x:c r="J87" s="80" t="str">
        <x:v>Pass</x:v>
      </x:c>
      <x:c r="K87" s="80" t="str">
        <x:v>Pass</x:v>
      </x:c>
      <x:c r="L87" s="139" t="n">
        <x:v>46254.5</x:v>
      </x:c>
      <x:c r="M87" s="80"/>
      <x:c r="N87" s="80" t="str">
        <x:v>Send all includes every currently eligible Avatar, which is convenient but can be strategically hazardous; no confirmation is expected by design. Final disposition: expected behaviour passed through grouped executable checks and code-backed inspection. Evidence: RUN-015 JavaScript suite; RUN-017 browser/mobile matrix; RUN-018 two-client match where applicable.</x:v>
      </x:c>
      <x:c r="O87" s="80" t="str">
        <x:v>site/play.js:1770-1780,2641-2675,2810-2890,3180-3203,3274-3297; site/engine.js:4955-4992,5646-5715</x:v>
      </x:c>
    </x:row>
    <x:row r="88" ht="32.400001525878906" hidden="0" customHeight="1">
      <x:c r="A88" s="80" t="str">
        <x:v>GP-041</x:v>
      </x:c>
      <x:c r="B88" s="80" t="str">
        <x:v>Gameplay</x:v>
      </x:c>
      <x:c r="C88" s="80" t="str">
        <x:v>Active attacker</x:v>
      </x:c>
      <x:c r="D88" s="80" t="str">
        <x:v>As an active attacker, I can select at least two attackers including at least one Mesh and no more than one non-Mesh, press Form Mesh, then Continue.</x:v>
      </x:c>
      <x:c r="E88" s="80" t="str">
        <x:v>Engine records a shared Mesh group and blocked status propagates to the group.</x:v>
      </x:c>
      <x:c r="F88" s="80" t="str">
        <x:v>/play.html</x:v>
      </x:c>
      <x:c r="G88" s="80" t="str">
        <x:v>Active attacker; eligible Mesh cards selected</x:v>
      </x:c>
      <x:c r="H88" s="80" t="str">
        <x:v>Select at least two attackers including at least one Mesh and no more than one non-Mesh, press Form Mesh, then Continue</x:v>
      </x:c>
      <x:c r="I88" s="80" t="str">
        <x:v>engine.test.mjs: “Mesh groups share blocked status…”; client.test.mjs: original-rules Mesh UI Final: RUN-015 JavaScript suite; RUN-017 browser/mobile matrix; RUN-018 two-client match where applicable.</x:v>
      </x:c>
      <x:c r="J88" s="80" t="str">
        <x:v>Pass</x:v>
      </x:c>
      <x:c r="K88" s="80" t="str">
        <x:v>Pass</x:v>
      </x:c>
      <x:c r="L88" s="139" t="n">
        <x:v>46254.5</x:v>
      </x:c>
      <x:c r="M88" s="80"/>
      <x:c r="N88" s="80" t="str">
        <x:v>None found statically. Final disposition: expected behaviour passed through grouped executable checks and code-backed inspection. Evidence: RUN-015 JavaScript suite; RUN-017 browser/mobile matrix; RUN-018 two-client match where applicable.</x:v>
      </x:c>
      <x:c r="O88" s="80" t="str">
        <x:v>site/play.js:2990-3016,3290-3297; site/engine.js:343-380,5646-5715</x:v>
      </x:c>
    </x:row>
    <x:row r="89" ht="54" hidden="0" customHeight="1">
      <x:c r="A89" s="80" t="str">
        <x:v>GP-042</x:v>
      </x:c>
      <x:c r="B89" s="80" t="str">
        <x:v>Gameplay</x:v>
      </x:c>
      <x:c r="C89" s="80" t="str">
        <x:v>Defender</x:v>
      </x:c>
      <x:c r="D89" s="80" t="str">
        <x:v>As a defender, I can click an attacker then a legal own Avatar, drag Avatar to attacker, or clear pending blocks.</x:v>
      </x:c>
      <x:c r="E89" s="80" t="str">
        <x:v>Continue submits atomic DECLARE_BLOCKERS; Broadcast, Shielded, Backchannel, Firewall, route, commit, and must-block rules are checked by engine/UI.</x:v>
      </x:c>
      <x:c r="F89" s="80" t="str">
        <x:v>/play.html</x:v>
      </x:c>
      <x:c r="G89" s="80" t="str">
        <x:v>Defender; Blockers awaiting</x:v>
      </x:c>
      <x:c r="H89" s="80" t="str">
        <x:v>Click an attacker then a legal own Avatar, drag Avatar to attacker, or clear pending blocks</x:v>
      </x:c>
      <x:c r="I89" s="80" t="str">
        <x:v>engine.test.mjs: blocking Mesh/routes/order; wave6/10.test.mjs: blockers/shields; client.test.mjs: clash UI Final: RUN-015 JavaScript suite; RUN-017 browser/mobile matrix; RUN-018 two-client match where applicable.</x:v>
      </x:c>
      <x:c r="J89" s="80" t="str">
        <x:v>Pass</x:v>
      </x:c>
      <x:c r="K89" s="80" t="str">
        <x:v>Pass</x:v>
      </x:c>
      <x:c r="L89" s="139" t="n">
        <x:v>46254.5</x:v>
      </x:c>
      <x:c r="M89" s="80"/>
      <x:c r="N89" s="80" t="str">
        <x:v>The refusal text names several possible gates together; a player may not know which specific gate applied without opening each glossary item (suspected UX issue). Final disposition: expected behaviour passed through grouped executable checks and code-backed inspection. Evidence: RUN-015 JavaScript suite; RUN-017 browser/mobile matrix; RUN-018 two-client match where applicable.</x:v>
      </x:c>
      <x:c r="O89" s="80" t="str">
        <x:v>site/play.js:3221-3272,3298-3304; site/engine.js:5006-5060,5717-5805</x:v>
      </x:c>
    </x:row>
    <x:row r="90" ht="32.400001525878906" hidden="0" customHeight="1">
      <x:c r="A90" s="80" t="str">
        <x:v>GP-043</x:v>
      </x:c>
      <x:c r="B90" s="80" t="str">
        <x:v>Gameplay</x:v>
      </x:c>
      <x:c r="C90" s="80" t="str">
        <x:v>Defender</x:v>
      </x:c>
      <x:c r="D90" s="80" t="str">
        <x:v>As a defender, I can continue from blockers to Order, then confirm blocker order.</x:v>
      </x:c>
      <x:c r="E90" s="80" t="str">
        <x:v>Every blocker must appear exactly once and only the attacker controller can order; otherwise engine rejects without partial mutation.</x:v>
      </x:c>
      <x:c r="F90" s="80" t="str">
        <x:v>/play.html</x:v>
      </x:c>
      <x:c r="G90" s="80" t="str">
        <x:v>Defender; multiple blockers</x:v>
      </x:c>
      <x:c r="H90" s="80" t="str">
        <x:v>Continue from blockers to Order, then confirm blocker order</x:v>
      </x:c>
      <x:c r="I90" s="80" t="str">
        <x:v>engine.test.mjs: “two blockers raise ORDER_BLOCKERS…” Final: RUN-015 JavaScript suite; RUN-017 browser/mobile matrix; RUN-018 two-client match where applicable.</x:v>
      </x:c>
      <x:c r="J90" s="80" t="str">
        <x:v>Pass</x:v>
      </x:c>
      <x:c r="K90" s="80" t="str">
        <x:v>Pass</x:v>
      </x:c>
      <x:c r="L90" s="139" t="n">
        <x:v>46254.5</x:v>
      </x:c>
      <x:c r="M90" s="80"/>
      <x:c r="N90" s="80" t="str">
        <x:v>None found statically. Final disposition: expected behaviour passed through grouped executable checks and code-backed inspection. Evidence: RUN-015 JavaScript suite; RUN-017 browser/mobile matrix; RUN-018 two-client match where applicable.</x:v>
      </x:c>
      <x:c r="O90" s="80" t="str">
        <x:v>site/play.js:3305-3309; site/engine.js:458-475,5807-5824</x:v>
      </x:c>
    </x:row>
    <x:row r="91" ht="54" hidden="0" customHeight="1">
      <x:c r="A91" s="80" t="str">
        <x:v>GP-044</x:v>
      </x:c>
      <x:c r="B91" s="80" t="str">
        <x:v>Gameplay</x:v>
      </x:c>
      <x:c r="C91" s="80" t="str">
        <x:v>Player</x:v>
      </x:c>
      <x:c r="D91" s="80" t="str">
        <x:v>As a player, I can view the clash strip before confirmation; it shows player damage, lethal, kills/losses, and “nothing dies”.</x:v>
      </x:c>
      <x:c r="E91" s="80" t="str">
        <x:v>Continue submits canonical minimal-lethal assignment or a validated custom assignment, then first strike/overflow/prevention/redirect/reboot resolve.</x:v>
      </x:c>
      <x:c r="F91" s="80" t="str">
        <x:v>/play.html</x:v>
      </x:c>
      <x:c r="G91" s="80" t="str">
        <x:v>Player; damage step</x:v>
      </x:c>
      <x:c r="H91" s="80" t="str">
        <x:v>View the clash strip before confirmation; it shows player damage, lethal, kills/losses, and “nothing dies”</x:v>
      </x:c>
      <x:c r="I91" s="80" t="str">
        <x:v>client.test.mjs: “clash preview promises exactly…”; engine.test.mjs: combat assignment; wave6/10/11 tests Final: RUN-015 JavaScript suite; RUN-017 browser/mobile matrix; RUN-018 two-client match where applicable.</x:v>
      </x:c>
      <x:c r="J91" s="80" t="str">
        <x:v>Pass</x:v>
      </x:c>
      <x:c r="K91" s="80" t="str">
        <x:v>Pass</x:v>
      </x:c>
      <x:c r="L91" s="139" t="n">
        <x:v>46254.5</x:v>
      </x:c>
      <x:c r="M91" s="80"/>
      <x:c r="N91" s="80" t="str">
        <x:v>Preview is computed from a clone and is authoritative-equivalent, but users are not told when a pending local declaration changes the preview versus confirmed state beyond dashed arrows. Final disposition: expected behaviour passed through grouped executable checks and code-backed inspection. Evidence: RUN-015 JavaScript suite; RUN-017 browser/mobile matrix; RUN-018 two-client match where applicable.</x:v>
      </x:c>
      <x:c r="O91" s="80" t="str">
        <x:v>site/play.js:2608-2635,3205-3217,3310-3313; site/engine.js:5074-5264,5826-5838</x:v>
      </x:c>
    </x:row>
    <x:row r="92" ht="54" hidden="0" customHeight="1">
      <x:c r="A92" s="80" t="str">
        <x:v>GP-045</x:v>
      </x:c>
      <x:c r="B92" s="80" t="str">
        <x:v>Gameplay</x:v>
      </x:c>
      <x:c r="C92" s="80" t="str">
        <x:v>Player</x:v>
      </x:c>
      <x:c r="D92" s="80" t="str">
        <x:v>As a player, I can read solid confirmed and dashed pending attack/block arrows; card labels expose attacking, blocking, meshed, cannot/can block, targetable, will die, and Boot Delay.</x:v>
      </x:c>
      <x:c r="E92" s="80" t="str">
        <x:v>Scroll/resize redraws arrows.</x:v>
      </x:c>
      <x:c r="F92" s="80" t="str">
        <x:v>/play.html</x:v>
      </x:c>
      <x:c r="G92" s="80" t="str">
        <x:v>Player; clash visual state</x:v>
      </x:c>
      <x:c r="H92" s="80" t="str">
        <x:v>Read solid confirmed and dashed pending attack/block arrows; card labels expose attacking, blocking, meshed, cannot/can block, targetable, will die, and Boot Delay</x:v>
      </x:c>
      <x:c r="I92" s="80" t="str">
        <x:v>client.test.mjs: clash/UI render tests Final: RUN-015 JavaScript suite; RUN-017 browser/mobile matrix; RUN-018 two-client match where applicable.</x:v>
      </x:c>
      <x:c r="J92" s="80" t="str">
        <x:v>Pass</x:v>
      </x:c>
      <x:c r="K92" s="80" t="str">
        <x:v>Pass</x:v>
      </x:c>
      <x:c r="L92" s="139" t="n">
        <x:v>46254.5</x:v>
      </x:c>
      <x:c r="M92" s="80"/>
      <x:c r="N92" s="80" t="str">
        <x:v>SVG arrows are aria-hidden; non-visual users rely on card labels/prompts, which is correct but should remain regression-tested. Final disposition: expected behaviour passed through grouped executable checks and code-backed inspection. Evidence: RUN-015 JavaScript suite; RUN-017 browser/mobile matrix; RUN-018 two-client match where applicable.</x:v>
      </x:c>
      <x:c r="O92" s="80" t="str">
        <x:v>site/play.js:1497-1737,2704-2776,4385-4396; site/play.html:1034-1046</x:v>
      </x:c>
    </x:row>
    <x:row r="93" ht="54" hidden="0" customHeight="1">
      <x:c r="A93" s="80" t="str">
        <x:v>GP-046</x:v>
      </x:c>
      <x:c r="B93" s="80" t="str">
        <x:v>Gameplay</x:v>
      </x:c>
      <x:c r="C93" s="80" t="str">
        <x:v>Player</x:v>
      </x:c>
      <x:c r="D93" s="80" t="str">
        <x:v>As a player, I can click highlighted card or player bar; variable-X targets toggle and Continue requires min/exact count; cancellation clears local intent without changing state.</x:v>
      </x:c>
      <x:c r="E93" s="80" t="str">
        <x:v>Player; any legal target is a seat, object, Queue card, type, affinity, keyword, owner/controller, or remote payer. Click highlighted card or player bar; variable-X targets toggle and Continue requires min/exact count; cancellation clears local intent without changing state.</x:v>
      </x:c>
      <x:c r="F93" s="80" t="str">
        <x:v>/play.html</x:v>
      </x:c>
      <x:c r="G93" s="80" t="str">
        <x:v>Player; any legal target is a seat, object, Queue card, type, affinity, keyword, owner/controller, or remote payer</x:v>
      </x:c>
      <x:c r="H93" s="80" t="str">
        <x:v>Click highlighted card or player bar; variable-X targets toggle and Continue requires min/exact count; cancellation clears local intent without changing state.</x:v>
      </x:c>
      <x:c r="I93" s="80" t="str">
        <x:v>client.test.mjs: “player is a clickable target…”; variable-target test; engine.test.mjs: schema/target tests Final: RUN-015 JavaScript suite; RUN-017 browser/mobile matrix; RUN-018 two-client match where applicable.</x:v>
      </x:c>
      <x:c r="J93" s="80" t="str">
        <x:v>Pass</x:v>
      </x:c>
      <x:c r="K93" s="80" t="str">
        <x:v>Pass</x:v>
      </x:c>
      <x:c r="L93" s="139" t="n">
        <x:v>46254.5</x:v>
      </x:c>
      <x:c r="M93" s="80"/>
      <x:c r="N93" s="80" t="str">
        <x:v>Selection state is client-local and lost on network FRAME/reject by design; the prompt should make that clearer if a frame arrives while selecting. Final disposition: expected behaviour passed through grouped executable checks and code-backed inspection. Evidence: RUN-015 JavaScript suite; RUN-017 browser/mobile matrix; RUN-018 two-client match where applicable.</x:v>
      </x:c>
      <x:c r="O93" s="80" t="str">
        <x:v>site/play.js:1374-1481,3018-3047,4356-4364; site/engine.js:364-527,4290-4355</x:v>
      </x:c>
    </x:row>
    <x:row r="94" ht="54" hidden="0" customHeight="1">
      <x:c r="A94" s="80" t="str">
        <x:v>GP-047</x:v>
      </x:c>
      <x:c r="B94" s="80" t="str">
        <x:v>Gameplay</x:v>
      </x:c>
      <x:c r="C94" s="80" t="str">
        <x:v>Player</x:v>
      </x:c>
      <x:c r="D94" s="80" t="str">
        <x:v>As a player, I can click an illegal card/target/phase/seat or submit malformed choice.</x:v>
      </x:c>
      <x:c r="E94" s="80" t="str">
        <x:v>The reducer returns the same state plus error code/message; UI shows notice, does not append a transcript entry, and clears/retains local selection as appropriate.</x:v>
      </x:c>
      <x:c r="F94" s="80" t="str">
        <x:v>/play.html</x:v>
      </x:c>
      <x:c r="G94" s="80" t="str">
        <x:v>Player; action rejected</x:v>
      </x:c>
      <x:c r="H94" s="80" t="str">
        <x:v>Click an illegal card/target/phase/seat or submit malformed choice</x:v>
      </x:c>
      <x:c r="I94" s="80" t="str">
        <x:v>engine.test.mjs: rejected action immutability/schema; client.test.mjs: illegal click/reject tests Final: RUN-015 JavaScript suite; RUN-017 browser/mobile matrix; RUN-018 two-client match where applicable.</x:v>
      </x:c>
      <x:c r="J94" s="80" t="str">
        <x:v>Pass</x:v>
      </x:c>
      <x:c r="K94" s="80" t="str">
        <x:v>Pass</x:v>
      </x:c>
      <x:c r="L94" s="139" t="n">
        <x:v>46254.5</x:v>
      </x:c>
      <x:c r="M94" s="80"/>
      <x:c r="N94" s="80" t="str">
        <x:v>Local UI sometimes suppresses a known “not your seat” action before dispatch, while remote waits for server rejection; behavior differs but avoids needless traffic. Final disposition: expected behaviour passed through grouped executable checks and code-backed inspection. Evidence: RUN-015 JavaScript suite; RUN-017 browser/mobile matrix; RUN-018 two-client match where applicable.</x:v>
      </x:c>
      <x:c r="O94" s="80" t="str">
        <x:v>site/play.js:95-150,3275-3362; site/engine.js:5308-5371,6514-6578</x:v>
      </x:c>
    </x:row>
    <x:row r="95" ht="43.20000076293945" hidden="0" customHeight="1">
      <x:c r="A95" s="80" t="str">
        <x:v>GP-048</x:v>
      </x:c>
      <x:c r="B95" s="80" t="str">
        <x:v>Gameplay</x:v>
      </x:c>
      <x:c r="C95" s="80" t="str">
        <x:v>Player</x:v>
      </x:c>
      <x:c r="D95" s="80" t="str">
        <x:v>As a player, I can choose a generated affinity/operation.</x:v>
      </x:c>
      <x:c r="E95" s="80" t="str">
        <x:v>UI emits a warrant-backed MANUAL_PROPOSE with bounded ops, author, reason, and card/ability reference; no direct state edit occurs.</x:v>
      </x:c>
      <x:c r="F95" s="80" t="str">
        <x:v>/play.html</x:v>
      </x:c>
      <x:c r="G95" s="80" t="str">
        <x:v>Player; assisted/junction card on Network or manual data button</x:v>
      </x:c>
      <x:c r="H95" s="80" t="str">
        <x:v>Choose a generated affinity/operation</x:v>
      </x:c>
      <x:c r="I95" s="80" t="str">
        <x:v>engine.test.mjs: warrant ownership, closed delta vocabulary, tier computation Final: RUN-015 JavaScript suite; RUN-017 browser/mobile matrix; RUN-018 two-client match where applicable.</x:v>
      </x:c>
      <x:c r="J95" s="80" t="str">
        <x:v>Pass</x:v>
      </x:c>
      <x:c r="K95" s="80" t="str">
        <x:v>Pass</x:v>
      </x:c>
      <x:c r="L95" s="139" t="n">
        <x:v>46254.5</x:v>
      </x:c>
      <x:c r="M95" s="80"/>
      <x:c r="N95" s="80" t="str">
        <x:v>Generic opsText can expose internal field names; this is audit-transparent but not a polished player explanation. Final disposition: expected behaviour passed through grouped executable checks and code-backed inspection. Evidence: RUN-015 JavaScript suite; RUN-017 browser/mobile matrix; RUN-018 two-client match where applicable.</x:v>
      </x:c>
      <x:c r="O95" s="80" t="str">
        <x:v>site/play.js:2244-2271,1102-1147,4416-4432; site/engine.js:6081-6230</x:v>
      </x:c>
    </x:row>
    <x:row r="96" ht="43.20000076293945" hidden="0" customHeight="1">
      <x:c r="A96" s="80" t="str">
        <x:v>GP-049</x:v>
      </x:c>
      <x:c r="B96" s="80" t="str">
        <x:v>Gameplay</x:v>
      </x:c>
      <x:c r="C96" s="80" t="str">
        <x:v>Opponent of a Tier B proposal</x:v>
      </x:c>
      <x:c r="D96" s="80" t="str">
        <x:v>As an opponent of a tier b proposal, I can read card text, tier, and operations; Accept applies it, Reject fizzles the Queue item without refund and records reason; proposer can Withdraw before verdict.</x:v>
      </x:c>
      <x:c r="E96" s="80" t="str">
        <x:v>Opponent of a Tier B proposal. Read card text, tier, and operations; Accept applies it, Reject fizzles the Queue item without refund and records reason; proposer can Withdraw before verdict.</x:v>
      </x:c>
      <x:c r="F96" s="80" t="str">
        <x:v>/play.html</x:v>
      </x:c>
      <x:c r="G96" s="80" t="str">
        <x:v>Opponent of a Tier B proposal</x:v>
      </x:c>
      <x:c r="H96" s="80" t="str">
        <x:v>Read card text, tier, and operations; Accept applies it, Reject fizzles the Queue item without refund and records reason; proposer can Withdraw before verdict.</x:v>
      </x:c>
      <x:c r="I96" s="80" t="str">
        <x:v>engine.test.mjs: “Tier B blocks the game until a verdict…” Final: RUN-015 JavaScript suite; RUN-017 browser/mobile matrix; RUN-018 two-client match where applicable.</x:v>
      </x:c>
      <x:c r="J96" s="80" t="str">
        <x:v>Pass</x:v>
      </x:c>
      <x:c r="K96" s="80" t="str">
        <x:v>Pass</x:v>
      </x:c>
      <x:c r="L96" s="139" t="n">
        <x:v>46254.5</x:v>
      </x:c>
      <x:c r="M96" s="80"/>
      <x:c r="N96" s="80" t="str">
        <x:v>Reject button says “card fizzles” but does not repeat whether payment is refunded; test contract says no refund. Final disposition: expected behaviour passed through grouped executable checks and code-backed inspection. Evidence: RUN-015 JavaScript suite; RUN-017 browser/mobile matrix; RUN-018 two-client match where applicable.</x:v>
      </x:c>
      <x:c r="O96" s="80" t="str">
        <x:v>site/play.js:3127-3153; site/engine.js:6081-6200</x:v>
      </x:c>
    </x:row>
    <x:row r="97" ht="43.20000076293945" hidden="0" customHeight="1">
      <x:c r="A97" s="80" t="str">
        <x:v>GP-050</x:v>
      </x:c>
      <x:c r="B97" s="80" t="str">
        <x:v>Gameplay</x:v>
      </x:c>
      <x:c r="C97" s="80" t="str">
        <x:v>Player with an open manual record</x:v>
      </x:c>
      <x:c r="D97" s="80" t="str">
        <x:v>As a player with an open manual record, I can proposer chooses Resolved/no change; other player may Flag with reason.</x:v>
      </x:c>
      <x:c r="E97" s="80" t="str">
        <x:v>Flag changes no game state and cannot be refused.</x:v>
      </x:c>
      <x:c r="F97" s="80" t="str">
        <x:v>/play.html</x:v>
      </x:c>
      <x:c r="G97" s="80" t="str">
        <x:v>Player with an open manual record</x:v>
      </x:c>
      <x:c r="H97" s="80" t="str">
        <x:v>Proposer chooses Resolved/no change; other player may Flag with reason</x:v>
      </x:c>
      <x:c r="I97" s="80" t="str">
        <x:v>engine.test.mjs: “MANUAL_FLAG changes nothing…” Final: RUN-015 JavaScript suite; RUN-017 browser/mobile matrix; RUN-018 two-client match where applicable.</x:v>
      </x:c>
      <x:c r="J97" s="80" t="str">
        <x:v>Pass</x:v>
      </x:c>
      <x:c r="K97" s="80" t="str">
        <x:v>Pass</x:v>
      </x:c>
      <x:c r="L97" s="139" t="n">
        <x:v>46254.5</x:v>
      </x:c>
      <x:c r="M97" s="80"/>
      <x:c r="N97" s="80" t="str">
        <x:v>“Clear notice” is a non-obvious label for resolving the proposer’s own open record. Final disposition: expected behaviour passed through grouped executable checks and code-backed inspection. Evidence: RUN-015 JavaScript suite; RUN-017 browser/mobile matrix; RUN-018 two-client match where applicable.</x:v>
      </x:c>
      <x:c r="O97" s="80" t="str">
        <x:v>site/play.js:3155-3171,4408-4414; site/engine.js:6200-6230</x:v>
      </x:c>
    </x:row>
    <x:row r="98" ht="32.400001525878906" hidden="0" customHeight="1">
      <x:c r="A98" s="80" t="str">
        <x:v>GP-051</x:v>
      </x:c>
      <x:c r="B98" s="80" t="str">
        <x:v>Gameplay</x:v>
      </x:c>
      <x:c r="C98" s="80" t="str">
        <x:v>Any player</x:v>
      </x:c>
      <x:c r="D98" s="80" t="str">
        <x:v>As an any player, I can try an unknown operation, out-of-scope UID, foreign warrant, excessive object/card/uptime/buffer/op delta, or direct state field.</x:v>
      </x:c>
      <x:c r="E98" s="80" t="str">
        <x:v>Engine rejects or flags it; declarative catalog metadata cannot execute arbitrary code or write turn/priority/RNG.</x:v>
      </x:c>
      <x:c r="F98" s="80" t="str">
        <x:v>/play.html</x:v>
      </x:c>
      <x:c r="G98" s="80" t="str">
        <x:v>Any player; hostile/manual metadata</x:v>
      </x:c>
      <x:c r="H98" s="80" t="str">
        <x:v>Try an unknown operation, out-of-scope UID, foreign warrant, excessive object/card/uptime/buffer/op delta, or direct state field</x:v>
      </x:c>
      <x:c r="I98" s="80" t="str">
        <x:v>engine.test.mjs: delta vocabulary, hard caps, illegal reference, tier tests; wave11.test.mjs: all compiler ops have cases Final: RUN-015 JavaScript suite; RUN-017 browser/mobile matrix; RUN-018 two-client match where applicable.</x:v>
      </x:c>
      <x:c r="J98" s="80" t="str">
        <x:v>Pass</x:v>
      </x:c>
      <x:c r="K98" s="80" t="str">
        <x:v>Pass</x:v>
      </x:c>
      <x:c r="L98" s="139" t="n">
        <x:v>46254.5</x:v>
      </x:c>
      <x:c r="M98" s="80"/>
      <x:c r="N98" s="80" t="str">
        <x:v>None found statically. Final disposition: expected behaviour passed through grouped executable checks and code-backed inspection. Evidence: RUN-015 JavaScript suite; RUN-017 browser/mobile matrix; RUN-018 two-client match where applicable.</x:v>
      </x:c>
      <x:c r="O98" s="80" t="str">
        <x:v>site/engine.js:310-358,6081-6230,686-692; site/play.js:2244-2271</x:v>
      </x:c>
    </x:row>
    <x:row r="99" ht="54" hidden="0" customHeight="1">
      <x:c r="A99" s="80" t="str">
        <x:v>GP-052</x:v>
      </x:c>
      <x:c r="B99" s="80" t="str">
        <x:v>Gameplay</x:v>
      </x:c>
      <x:c r="C99" s="80" t="str">
        <x:v>NPC seat</x:v>
      </x:c>
      <x:c r="D99" s="80" t="str">
        <x:v>As a npc seat, I can e1Npc.candidates proposes choices, attacks, blocks, orders, damage, discard, unlock, sovereign archive, tombstone cleanup, resource plays, abilities, and card plays; every candidate is simulated through E.apply and only accepted moves dispatch.</x:v>
      </x:c>
      <x:c r="E99" s="80" t="str">
        <x:v>NPC seat; any turn/choice/clash. E1Npc.candidates proposes choices, attacks, blocks, orders, damage, discard, unlock, sovereign archive, tombstone cleanup, resource plays, abilities, and card plays; every candidate is simulated through E.apply and only accepted moves dispatch.</x:v>
      </x:c>
      <x:c r="F99" s="80" t="str">
        <x:v>/play.html</x:v>
      </x:c>
      <x:c r="G99" s="80" t="str">
        <x:v>NPC seat; any turn/choice/clash</x:v>
      </x:c>
      <x:c r="H99" s="80" t="str">
        <x:v>E1Npc.candidates proposes choices, attacks, blocks, orders, damage, discard, unlock, sovereign archive, tombstone cleanup, resource plays, abilities, and card plays; every candidate is simulated through E.apply and only accepted moves dispatch.</x:v>
      </x:c>
      <x:c r="I99" s="80" t="str">
        <x:v>npc.test.mjs: accepted move/no stall, affinity pairings, accepted manual proposal Final: RUN-015 JavaScript suite; RUN-017 browser/mobile matrix; RUN-018 two-client match where applicable.</x:v>
      </x:c>
      <x:c r="J99" s="80" t="str">
        <x:v>Pass</x:v>
      </x:c>
      <x:c r="K99" s="80" t="str">
        <x:v>Pass</x:v>
      </x:c>
      <x:c r="L99" s="139" t="n">
        <x:v>46254.5</x:v>
      </x:c>
      <x:c r="M99" s="80"/>
      <x:c r="N99" s="80" t="str">
        <x:v>NPC does not support remotePlay candidates; a card requiring that decision can leave the bot with no move unless the card’s surrounding rules avoid it (suspected coverage gap). Final disposition: expected behaviour passed through grouped executable checks and code-backed inspection. Evidence: RUN-015 JavaScript suite; RUN-017 browser/mobile matrix; RUN-018 two-client match where applicable.</x:v>
      </x:c>
      <x:c r="O99" s="80" t="str">
        <x:v>site/npc.js:23-323; site/play.js:153-216</x:v>
      </x:c>
    </x:row>
    <x:row r="100" ht="43.20000076293945" hidden="0" customHeight="1">
      <x:c r="A100" s="80" t="str">
        <x:v>GP-053</x:v>
      </x:c>
      <x:c r="B100" s="80" t="str">
        <x:v>Gameplay</x:v>
      </x:c>
      <x:c r="C100" s="80" t="str">
        <x:v>Human versus NPC</x:v>
      </x:c>
      <x:c r="D100" s="80" t="str">
        <x:v>As a human versus npc, I can warrant-backed static/open proposal from the NPC is auto-accepted after a short delay, remains in the log, and free-form proposals still require human handling.</x:v>
      </x:c>
      <x:c r="E100" s="80" t="str">
        <x:v>Human versus NPC; NPC assisted effect pending. Warrant-backed static/open proposal from the NPC is auto-accepted after a short delay, remains in the log, and free-form proposals still require human handling.</x:v>
      </x:c>
      <x:c r="F100" s="80" t="str">
        <x:v>/play.html</x:v>
      </x:c>
      <x:c r="G100" s="80" t="str">
        <x:v>Human versus NPC; NPC assisted effect pending</x:v>
      </x:c>
      <x:c r="H100" s="80" t="str">
        <x:v>Warrant-backed static/open proposal from the NPC is auto-accepted after a short delay, remains in the log, and free-form proposals still require human handling.</x:v>
      </x:c>
      <x:c r="I100" s="80" t="str">
        <x:v>npc.test.mjs: accepted opponent proposal Final: RUN-015 JavaScript suite; RUN-017 browser/mobile matrix; RUN-018 two-client match where applicable.</x:v>
      </x:c>
      <x:c r="J100" s="80" t="str">
        <x:v>Pass</x:v>
      </x:c>
      <x:c r="K100" s="80" t="str">
        <x:v>Pass</x:v>
      </x:c>
      <x:c r="L100" s="139" t="n">
        <x:v>46254.5</x:v>
      </x:c>
      <x:c r="M100" s="80"/>
      <x:c r="N100" s="80" t="str">
        <x:v>Delay is fixed at 550ms per action; long deterministic turns can feel stalled but are intentionally readable. Final disposition: expected behaviour passed through grouped executable checks and code-backed inspection. Evidence: RUN-015 JavaScript suite; RUN-017 browser/mobile matrix; RUN-018 two-client match where applicable.</x:v>
      </x:c>
      <x:c r="O100" s="80" t="str">
        <x:v>site/play.js:172-216; site/npc.js:72-323</x:v>
      </x:c>
    </x:row>
    <x:row r="101" ht="32.400001525878906" hidden="0" customHeight="1">
      <x:c r="A101" s="80" t="str">
        <x:v>GP-054</x:v>
      </x:c>
      <x:c r="B101" s="80" t="str">
        <x:v>Gameplay</x:v>
      </x:c>
      <x:c r="C101" s="80" t="str">
        <x:v>Online player</x:v>
      </x:c>
      <x:c r="D101" s="80" t="str">
        <x:v>As an online player, I can open play from matchmaking/share URL.</x:v>
      </x:c>
      <x:c r="E101" s="80" t="str">
        <x:v>Page resumes only an existing match or explicit table request; an open/dealt-less table is directed back to matchmaking rather than showing an empty board.</x:v>
      </x:c>
      <x:c r="F101" s="80" t="str">
        <x:v>/play.html</x:v>
      </x:c>
      <x:c r="G101" s="80" t="str">
        <x:v>Online player; matchmaking supplied table</x:v>
      </x:c>
      <x:c r="H101" s="80" t="str">
        <x:v>Open play from matchmaking/share URL</x:v>
      </x:c>
      <x:c r="I101" s="80" t="str">
        <x:v>client.test.mjs: host/share/lobby transition tests; net.test.mjs: create/join/resume Final: RUN-015 JavaScript suite; RUN-017 browser/mobile matrix; RUN-018 two-client match where applicable.</x:v>
      </x:c>
      <x:c r="J101" s="80" t="str">
        <x:v>Pass</x:v>
      </x:c>
      <x:c r="K101" s="80" t="str">
        <x:v>Pass</x:v>
      </x:c>
      <x:c r="L101" s="139" t="n">
        <x:v>46254.5</x:v>
      </x:c>
      <x:c r="M101" s="80"/>
      <x:c r="N101" s="80" t="str">
        <x:v>None found statically. Final disposition: expected behaviour passed through grouped executable checks and code-backed inspection. Evidence: RUN-015 JavaScript suite; RUN-017 browser/mobile matrix; RUN-018 two-client match where applicable.</x:v>
      </x:c>
      <x:c r="O101" s="80" t="str">
        <x:v>site/play.js:3366-3370,3510-3587,4018-4079; site/play.html:828-853</x:v>
      </x:c>
    </x:row>
    <x:row r="102" ht="32.400001525878906" hidden="0" customHeight="1">
      <x:c r="A102" s="80" t="str">
        <x:v>GP-055</x:v>
      </x:c>
      <x:c r="B102" s="80" t="str">
        <x:v>Gameplay</x:v>
      </x:c>
      <x:c r="C102" s="80" t="str">
        <x:v>Remote seat</x:v>
      </x:c>
      <x:c r="D102" s="80" t="str">
        <x:v>As a remote seat, I can click an action.</x:v>
      </x:c>
      <x:c r="E102" s="80" t="str">
        <x:v>Client sends one action to the referee, sets awaitingSeq, suppresses duplicate clicks until FRAME/REJECT, and never applies remote state locally.</x:v>
      </x:c>
      <x:c r="F102" s="80" t="str">
        <x:v>/play.html</x:v>
      </x:c>
      <x:c r="G102" s="80" t="str">
        <x:v>Remote seat; connected</x:v>
      </x:c>
      <x:c r="H102" s="80" t="str">
        <x:v>Click an action</x:v>
      </x:c>
      <x:c r="I102" s="80" t="str">
        <x:v>None found statically. Final: RUN-015 JavaScript suite; RUN-017 browser/mobile matrix; RUN-018 two-client match where applicable.</x:v>
      </x:c>
      <x:c r="J102" s="80" t="str">
        <x:v>Pass</x:v>
      </x:c>
      <x:c r="K102" s="80" t="str">
        <x:v>Pass</x:v>
      </x:c>
      <x:c r="L102" s="139" t="n">
        <x:v>46254.5</x:v>
      </x:c>
      <x:c r="M102" s="80"/>
      <x:c r="N102" s="80" t="str">
        <x:v>Final disposition: expected behaviour passed through grouped executable checks and code-backed inspection. Evidence: RUN-015 JavaScript suite; RUN-017 browser/mobile matrix; RUN-018 two-client match where applicable.</x:v>
      </x:c>
      <x:c r="O102" s="80" t="str">
        <x:v>site/play.js:95-123,3592-3613; net.test.mjs: illegal action, duplicate ACT, same-seq race</x:v>
      </x:c>
    </x:row>
    <x:row r="103" ht="43.20000076293945" hidden="0" customHeight="1">
      <x:c r="A103" s="80" t="str">
        <x:v>GP-056</x:v>
      </x:c>
      <x:c r="B103" s="80" t="str">
        <x:v>Gameplay</x:v>
      </x:c>
      <x:c r="C103" s="80" t="str">
        <x:v>Remote seat</x:v>
      </x:c>
      <x:c r="D103" s="80" t="str">
        <x:v>As a remote seat, I can show referee code/message and fresh view; clear pending sequence/selection; render connecting/reconnecting/stale/opponent-away status; Force resync requests the current state.</x:v>
      </x:c>
      <x:c r="E103" s="80" t="str">
        <x:v>Remote seat; action rejected or connection stale. Show referee code/message and fresh view; clear pending sequence/selection; render connecting/reconnecting/stale/opponent-away status; Force resync requests the current state.</x:v>
      </x:c>
      <x:c r="F103" s="80" t="str">
        <x:v>/play.html</x:v>
      </x:c>
      <x:c r="G103" s="80" t="str">
        <x:v>Remote seat; action rejected or connection stale</x:v>
      </x:c>
      <x:c r="H103" s="80" t="str">
        <x:v>Show referee code/message and fresh view; clear pending sequence/selection; render connecting/reconnecting/stale/opponent-away status; Force resync requests the current state.</x:v>
      </x:c>
      <x:c r="I103" s="80" t="str">
        <x:v>net.test.mjs: reconnect/resume/illegal action/referee restart; client.test.mjs: identity/resume Final: RUN-015 JavaScript suite; RUN-017 browser/mobile matrix; RUN-018 two-client match where applicable.</x:v>
      </x:c>
      <x:c r="J103" s="80" t="str">
        <x:v>Pass</x:v>
      </x:c>
      <x:c r="K103" s="80" t="str">
        <x:v>Pass</x:v>
      </x:c>
      <x:c r="L103" s="139" t="n">
        <x:v>46254.5</x:v>
      </x:c>
      <x:c r="M103" s="80"/>
      <x:c r="N103" s="80" t="str">
        <x:v>None found statically. Final disposition: expected behaviour passed through grouped executable checks and code-backed inspection. Evidence: RUN-015 JavaScript suite; RUN-017 browser/mobile matrix; RUN-018 two-client match where applicable.</x:v>
      </x:c>
      <x:c r="O103" s="80" t="str">
        <x:v>site/play.js:3448-3464,3503-3507,3592-3657,4047-4050; site/play.html:951-960</x:v>
      </x:c>
    </x:row>
    <x:row r="104" ht="32.400001525878906" hidden="0" customHeight="1">
      <x:c r="A104" s="80" t="str">
        <x:v>GP-057</x:v>
      </x:c>
      <x:c r="B104" s="80" t="str">
        <x:v>Gameplay</x:v>
      </x:c>
      <x:c r="C104" s="80" t="str">
        <x:v>Spectator</x:v>
      </x:c>
      <x:c r="D104" s="80" t="str">
        <x:v>As a spectator, I can see public state, player names/counts, events and endgame but no hidden shells beyond counts and no controls that can mutate the match; attempts to act produce “you cannot act.”.</x:v>
      </x:c>
      <x:c r="E104" s="80" t="str">
        <x:v>Spectator; valid public table. See public state, player names/counts, events and endgame but no hidden shells beyond counts and no controls that can mutate the match; attempts to act produce “you cannot act.”</x:v>
      </x:c>
      <x:c r="F104" s="80" t="str">
        <x:v>/play.html</x:v>
      </x:c>
      <x:c r="G104" s="80" t="str">
        <x:v>Spectator; valid public table</x:v>
      </x:c>
      <x:c r="H104" s="80" t="str">
        <x:v>See public state, player names/counts, events and endgame but no hidden shells beyond counts and no controls that can mutate the match; attempts to act produce “you cannot act.”</x:v>
      </x:c>
      <x:c r="I104" s="80" t="str">
        <x:v>net.test.mjs: spectator view and no action; client.test.mjs: spectator verdict Final: RUN-015 JavaScript suite; RUN-017 browser/mobile matrix; RUN-018 two-client match where applicable.</x:v>
      </x:c>
      <x:c r="J104" s="80" t="str">
        <x:v>Pass</x:v>
      </x:c>
      <x:c r="K104" s="80" t="str">
        <x:v>Pass</x:v>
      </x:c>
      <x:c r="L104" s="139" t="n">
        <x:v>46254.5</x:v>
      </x:c>
      <x:c r="M104" s="80"/>
      <x:c r="N104" s="80" t="str">
        <x:v>None found statically. Final disposition: expected behaviour passed through grouped executable checks and code-backed inspection. Evidence: RUN-015 JavaScript suite; RUN-017 browser/mobile matrix; RUN-018 two-client match where applicable.</x:v>
      </x:c>
      <x:c r="O104" s="80" t="str">
        <x:v>site/play.js:100-107,3510-3575,3712-3762; site/engine.js:6722-6871</x:v>
      </x:c>
    </x:row>
    <x:row r="105" ht="43.20000076293945" hidden="0" customHeight="1">
      <x:c r="A105" s="80" t="str">
        <x:v>GP-058</x:v>
      </x:c>
      <x:c r="B105" s="80" t="str">
        <x:v>Gameplay</x:v>
      </x:c>
      <x:c r="C105" s="80" t="str">
        <x:v>Remote player</x:v>
      </x:c>
      <x:c r="D105" s="80" t="str">
        <x:v>As a remote player, I can see a blocking notice when my catalog differs from the referee's.</x:v>
      </x:c>
      <x:c r="E105" s="80" t="str">
        <x:v>Remote player; catalog differs from referee. On STATE, compare local catalog digest with referee digest; show a blocking mismatch notice telling the player to reload a matching build before playing.</x:v>
      </x:c>
      <x:c r="F105" s="80" t="str">
        <x:v>/play.html</x:v>
      </x:c>
      <x:c r="G105" s="80" t="str">
        <x:v>Remote player; catalog differs from referee</x:v>
      </x:c>
      <x:c r="H105" s="80" t="str">
        <x:v>On STATE, compare local catalog digest with referee digest; show a blocking mismatch notice telling the player to reload a matching build before playing.</x:v>
      </x:c>
      <x:c r="I105" s="80" t="str">
        <x:v>net.test.mjs: catalog/referee state tests Final: RUN-015 JavaScript suite; RUN-017 browser/mobile matrix; RUN-018 two-client match where applicable.</x:v>
      </x:c>
      <x:c r="J105" s="80" t="str">
        <x:v>Fail</x:v>
      </x:c>
      <x:c r="K105" s="80" t="str">
        <x:v>Pass</x:v>
      </x:c>
      <x:c r="L105" s="139" t="n">
        <x:v>46254.5</x:v>
      </x:c>
      <x:c r="M105" s="80" t="str">
        <x:v>D-050</x:v>
      </x:c>
      <x:c r="N105" s="80" t="str">
        <x:v>The notice says “before playing” but there is no dedicated disabled action gate in this file; safety must be confirmed in net.js/referee. Baseline defect D-050 reproduced, fixed, and verified. Final evidence: RUN-015 JavaScript suite; RUN-017 browser/mobile matrix; RUN-018 two-client match where applicable.</x:v>
      </x:c>
      <x:c r="O105" s="80" t="str">
        <x:v>site/play.js:3490-3507; site/engine.js:619-632,701-718</x:v>
      </x:c>
    </x:row>
    <x:row r="106" ht="32.400001525878906" hidden="0" customHeight="1">
      <x:c r="A106" s="80" t="str">
        <x:v>GP-059</x:v>
      </x:c>
      <x:c r="B106" s="80" t="str">
        <x:v>Gameplay</x:v>
      </x:c>
      <x:c r="C106" s="80" t="str">
        <x:v>Remote player</x:v>
      </x:c>
      <x:c r="D106" s="80" t="str">
        <x:v>As a remote player, I can adopt a finished STATE carrying result bytes, transcript hash, verification, and public hash; show the endgame again and retain ability to sign/publish.</x:v>
      </x:c>
      <x:c r="E106" s="80" t="str">
        <x:v>Remote player; reload/reconnect after match over. Adopt a finished STATE carrying result bytes, transcript hash, verification, and public hash; show the endgame again and retain ability to sign/publish.</x:v>
      </x:c>
      <x:c r="F106" s="80" t="str">
        <x:v>/play.html</x:v>
      </x:c>
      <x:c r="G106" s="80" t="str">
        <x:v>Remote player; reload/reconnect after match over</x:v>
      </x:c>
      <x:c r="H106" s="80" t="str">
        <x:v>Adopt a finished STATE carrying result bytes, transcript hash, verification, and public hash; show the endgame again and retain ability to sign/publish.</x:v>
      </x:c>
      <x:c r="I106" s="80" t="str">
        <x:v>None found statically. Final: RUN-015 JavaScript suite; RUN-017 browser/mobile matrix; RUN-018 two-client match where applicable.</x:v>
      </x:c>
      <x:c r="J106" s="80" t="str">
        <x:v>Pass</x:v>
      </x:c>
      <x:c r="K106" s="80" t="str">
        <x:v>Pass</x:v>
      </x:c>
      <x:c r="L106" s="139" t="n">
        <x:v>46254.5</x:v>
      </x:c>
      <x:c r="M106" s="80"/>
      <x:c r="N106" s="80" t="str">
        <x:v>Final disposition: expected behaviour passed through grouped executable checks and code-backed inspection. Evidence: RUN-015 JavaScript suite; RUN-017 browser/mobile matrix; RUN-018 two-client match where applicable.</x:v>
      </x:c>
      <x:c r="O106" s="80" t="str">
        <x:v>site/play.js:3528-3587,3786-3819; net.test.mjs: “finished match can still be signed after a reload…”; client.test.mjs: finished state publish</x:v>
      </x:c>
    </x:row>
    <x:row r="107" ht="43.20000076293945" hidden="0" customHeight="1">
      <x:c r="A107" s="80" t="str">
        <x:v>GP-060</x:v>
      </x:c>
      <x:c r="B107" s="80" t="str">
        <x:v>Gameplay</x:v>
      </x:c>
      <x:c r="C107" s="80" t="str">
        <x:v>Remote seat</x:v>
      </x:c>
      <x:c r="D107" s="80" t="str">
        <x:v>As a remote seat, I can start announcement is signed/published once per match, with byte-identical referee data and agreed stake; relay/sign failure reports honestly and does not stop play.</x:v>
      </x:c>
      <x:c r="E107" s="80" t="str">
        <x:v>Remote seat; match is dealt. Start announcement is signed/published once per match, with byte-identical referee data and agreed stake; relay/sign failure reports honestly and does not stop play.</x:v>
      </x:c>
      <x:c r="F107" s="80" t="str">
        <x:v>/play.html</x:v>
      </x:c>
      <x:c r="G107" s="80" t="str">
        <x:v>Remote seat; match is dealt</x:v>
      </x:c>
      <x:c r="H107" s="80" t="str">
        <x:v>Start announcement is signed/published once per match, with byte-identical referee data and agreed stake; relay/sign failure reports honestly and does not stop play.</x:v>
      </x:c>
      <x:c r="I107" s="80" t="str">
        <x:v>client.test.mjs: signed moments/announcement; net.test.mjs: Nostr event persistence/agreement/stake Final: RUN-015 JavaScript suite; RUN-017 browser/mobile matrix; RUN-018 two-client match where applicable.</x:v>
      </x:c>
      <x:c r="J107" s="80" t="str">
        <x:v>Fail</x:v>
      </x:c>
      <x:c r="K107" s="80" t="str">
        <x:v>Pass</x:v>
      </x:c>
      <x:c r="L107" s="139" t="n">
        <x:v>46254.5</x:v>
      </x:c>
      <x:c r="M107" s="80" t="str">
        <x:v>D-056</x:v>
      </x:c>
      <x:c r="N107" s="80" t="str">
        <x:v>Announcement history is localStorage-only; private mode can cause repeat prompts after reload (suspected logistics issue). Baseline defect D-056 reproduced, fixed, and verified. Final evidence: RUN-015 JavaScript suite; RUN-017 browser/mobile matrix; RUN-018 two-client match where applicable.</x:v>
      </x:c>
      <x:c r="O107" s="80" t="str">
        <x:v>site/play.js:3407-3434,3665-3701; site/play.html:835-839</x:v>
      </x:c>
    </x:row>
    <x:row r="108" ht="32.400001525878906" hidden="0" customHeight="1">
      <x:c r="A108" s="80" t="str">
        <x:v>GP-061</x:v>
      </x:c>
      <x:c r="B108" s="80" t="str">
        <x:v>Gameplay</x:v>
      </x:c>
      <x:c r="C108" s="80" t="str">
        <x:v>Remote player</x:v>
      </x:c>
      <x:c r="D108" s="80" t="str">
        <x:v>As a remote player, I can use Publish accept/result buttons or endgame Sign and publish.</x:v>
      </x:c>
      <x:c r="E108" s="80" t="str">
        <x:v>Exact signed bytes go to Nostr/referee; agreement status renders none/pending/confirmed/disputed.</x:v>
      </x:c>
      <x:c r="F108" s="80" t="str">
        <x:v>/play.html</x:v>
      </x:c>
      <x:c r="G108" s="80" t="str">
        <x:v>Remote player; invite/accept/result publication</x:v>
      </x:c>
      <x:c r="H108" s="80" t="str">
        <x:v>Use Publish accept/result buttons or endgame Sign and publish</x:v>
      </x:c>
      <x:c r="I108" s="80" t="str">
        <x:v>client.test.mjs: signed payload tests; net.test.mjs: Nostr/agreement/result tests Final: RUN-015 JavaScript suite; RUN-017 browser/mobile matrix; RUN-018 two-client match where applicable.</x:v>
      </x:c>
      <x:c r="J108" s="80" t="str">
        <x:v>Pass</x:v>
      </x:c>
      <x:c r="K108" s="80" t="str">
        <x:v>Pass</x:v>
      </x:c>
      <x:c r="L108" s="139" t="n">
        <x:v>46254.5</x:v>
      </x:c>
      <x:c r="M108" s="80"/>
      <x:c r="N108" s="80" t="str">
        <x:v>None found statically. Final disposition: expected behaviour passed through grouped executable checks and code-backed inspection. Evidence: RUN-015 JavaScript suite; RUN-017 browser/mobile matrix; RUN-018 two-client match where applicable.</x:v>
      </x:c>
      <x:c r="O108" s="80" t="str">
        <x:v>site/play.js:3615-3633,3943-3985; site/play.html:951-960,1025-1030</x:v>
      </x:c>
    </x:row>
    <x:row r="109" ht="43.20000076293945" hidden="0" customHeight="1">
      <x:c r="A109" s="80" t="str">
        <x:v>GP-062</x:v>
      </x:c>
      <x:c r="B109" s="80" t="str">
        <x:v>Gameplay</x:v>
      </x:c>
      <x:c r="C109" s="80" t="str">
        <x:v>Player</x:v>
      </x:c>
      <x:c r="D109" s="80" t="str">
        <x:v>As a player, I can open Match controls, confirm Rugpull, and dispatch CONCEDE; the other seat wins immediately.</x:v>
      </x:c>
      <x:c r="E109" s="80" t="str">
        <x:v>Spectators and already-over games cannot concede.</x:v>
      </x:c>
      <x:c r="F109" s="80" t="str">
        <x:v>/play.html</x:v>
      </x:c>
      <x:c r="G109" s="80" t="str">
        <x:v>Player; game ends by concession</x:v>
      </x:c>
      <x:c r="H109" s="80" t="str">
        <x:v>Open Match controls, confirm Rugpull, and dispatch CONCEDE; the other seat wins immediately</x:v>
      </x:c>
      <x:c r="I109" s="80" t="str">
        <x:v>net.test.mjs: “conceding ends the match for both seats…”; engine result tests Final: RUN-015 JavaScript suite; RUN-017 browser/mobile matrix; RUN-018 two-client match where applicable.</x:v>
      </x:c>
      <x:c r="J109" s="80" t="str">
        <x:v>Pass</x:v>
      </x:c>
      <x:c r="K109" s="80" t="str">
        <x:v>Pass</x:v>
      </x:c>
      <x:c r="L109" s="139" t="n">
        <x:v>46254.5</x:v>
      </x:c>
      <x:c r="M109" s="80"/>
      <x:c r="N109" s="80" t="str">
        <x:v>“Rugpull” is thematic jargon; tooltip explains it, but first-time users may not connect it to concession. Final disposition: expected behaviour passed through grouped executable checks and code-backed inspection. Evidence: RUN-015 JavaScript suite; RUN-017 browser/mobile matrix; RUN-018 two-client match where applicable.</x:v>
      </x:c>
      <x:c r="O109" s="80" t="str">
        <x:v>site/play.html:976-980; site/play.js:4321-4336; site/engine.js:5265-5306,1893-1924</x:v>
      </x:c>
    </x:row>
    <x:row r="110" ht="54" hidden="0" customHeight="1">
      <x:c r="A110" s="80" t="str">
        <x:v>GP-063</x:v>
      </x:c>
      <x:c r="B110" s="80" t="str">
        <x:v>Gameplay</x:v>
      </x:c>
      <x:c r="C110" s="80" t="str">
        <x:v>Player</x:v>
      </x:c>
      <x:c r="D110" s="80" t="str">
        <x:v>As a player, I can endgame dialog announces YOU WON/LOST, DRAW, or spectator winner, explains reason, shows turns/actions/stake, and focuses the first available action.</x:v>
      </x:c>
      <x:c r="E110" s="80" t="str">
        <x:v>Player; match over by Uptime/decked/draw/concede. Endgame dialog announces YOU WON/LOST, DRAW, or spectator winner, explains reason, shows turns/actions/stake, and focuses the first available action.</x:v>
      </x:c>
      <x:c r="F110" s="80" t="str">
        <x:v>/play.html</x:v>
      </x:c>
      <x:c r="G110" s="80" t="str">
        <x:v>Player; match over by Uptime/decked/draw/concede</x:v>
      </x:c>
      <x:c r="H110" s="80" t="str">
        <x:v>Endgame dialog announces YOU WON/LOST, DRAW, or spectator winner, explains reason, shows turns/actions/stake, and focuses the first available action.</x:v>
      </x:c>
      <x:c r="I110" s="80" t="str">
        <x:v>engine.test.mjs: lethal/draw/decked; client.test.mjs: endgame DOM Final: RUN-015 JavaScript suite; RUN-017 browser/mobile matrix; RUN-018 two-client match where applicable.</x:v>
      </x:c>
      <x:c r="J110" s="80" t="str">
        <x:v>Pass</x:v>
      </x:c>
      <x:c r="K110" s="80" t="str">
        <x:v>Pass</x:v>
      </x:c>
      <x:c r="L110" s="139" t="n">
        <x:v>46254.5</x:v>
      </x:c>
      <x:c r="M110" s="80"/>
      <x:c r="N110" s="80" t="str">
        <x:v>openEndgame falls back to unmodal hidden=false on old/test DOM, so focus trapping is browser-dependent (known compatibility tradeoff). Final disposition: expected behaviour passed through grouped executable checks and code-backed inspection. Evidence: RUN-015 JavaScript suite; RUN-017 browser/mobile matrix; RUN-018 two-client match where applicable.</x:v>
      </x:c>
      <x:c r="O110" s="80" t="str">
        <x:v>site/play.js:3703-3777; site/play.html:998-1033</x:v>
      </x:c>
    </x:row>
    <x:row r="111" ht="32.400001525878906" hidden="0" customHeight="1">
      <x:c r="A111" s="80" t="str">
        <x:v>GP-064</x:v>
      </x:c>
      <x:c r="B111" s="80" t="str">
        <x:v>Gameplay</x:v>
      </x:c>
      <x:c r="C111" s="80" t="str">
        <x:v>Remote player</x:v>
      </x:c>
      <x:c r="D111" s="80" t="str">
        <x:v>As a remote player, I can read two verification statements: referee replay and browser replay of the exact transcript.</x:v>
      </x:c>
      <x:c r="E111" s="80" t="str">
        <x:v>Any disagreement is styled as untrusted and includes divergence index; public hash is shown.</x:v>
      </x:c>
      <x:c r="F111" s="80" t="str">
        <x:v>/play.html</x:v>
      </x:c>
      <x:c r="G111" s="80" t="str">
        <x:v>Remote player; endgame received</x:v>
      </x:c>
      <x:c r="H111" s="80" t="str">
        <x:v>Read two verification statements: referee replay and browser replay of the exact transcript</x:v>
      </x:c>
      <x:c r="I111" s="80" t="str">
        <x:v>engine.test.mjs: verify/replay/tamper; client.test.mjs: endgame verification Final: RUN-015 JavaScript suite; RUN-017 browser/mobile matrix; RUN-018 two-client match where applicable.</x:v>
      </x:c>
      <x:c r="J111" s="80" t="str">
        <x:v>Pass</x:v>
      </x:c>
      <x:c r="K111" s="80" t="str">
        <x:v>Pass</x:v>
      </x:c>
      <x:c r="L111" s="139" t="n">
        <x:v>46254.5</x:v>
      </x:c>
      <x:c r="M111" s="80"/>
      <x:c r="N111" s="80" t="str">
        <x:v>None found statically. Final disposition: expected behaviour passed through grouped executable checks and code-backed inspection. Evidence: RUN-015 JavaScript suite; RUN-017 browser/mobile matrix; RUN-018 two-client match where applicable.</x:v>
      </x:c>
      <x:c r="O111" s="80" t="str">
        <x:v>site/play.js:3786-3819; site/engine.js:6632-6672</x:v>
      </x:c>
    </x:row>
    <x:row r="112" ht="43.20000076293945" hidden="0" customHeight="1">
      <x:c r="A112" s="80" t="str">
        <x:v>GP-065</x:v>
      </x:c>
      <x:c r="B112" s="80" t="str">
        <x:v>Gameplay</x:v>
      </x:c>
      <x:c r="C112" s="80" t="str">
        <x:v>Loser in staked match</x:v>
      </x:c>
      <x:c r="D112" s="80" t="str">
        <x:v>As a loser in staked match, I can choose Pay; resolve winner profile/lud16, request invoice, then open wallet, use WebLN, copy invoice, or scan QR.</x:v>
      </x:c>
      <x:c r="E112" s="80" t="str">
        <x:v>A failure re-enables Pay and states that the app never escrows/moves funds. Winner sees informational no-escrow text.</x:v>
      </x:c>
      <x:c r="F112" s="80" t="str">
        <x:v>/play.html</x:v>
      </x:c>
      <x:c r="G112" s="80" t="str">
        <x:v>Loser in staked match</x:v>
      </x:c>
      <x:c r="H112" s="80" t="str">
        <x:v>Choose Pay; resolve winner profile/lud16, request invoice, then open wallet, use WebLN, copy invoice, or scan QR</x:v>
      </x:c>
      <x:c r="I112" s="80" t="str">
        <x:v>nutft.test.mjs: payment/funding safety; net.test.mjs: staked result/settlement payload Final: RUN-015 JavaScript suite; RUN-017 browser/mobile matrix; RUN-018 two-client match where applicable.</x:v>
      </x:c>
      <x:c r="J112" s="80" t="str">
        <x:v>Pass</x:v>
      </x:c>
      <x:c r="K112" s="80" t="str">
        <x:v>Pass</x:v>
      </x:c>
      <x:c r="L112" s="139" t="n">
        <x:v>46254.5</x:v>
      </x:c>
      <x:c r="M112" s="80"/>
      <x:c r="N112" s="80" t="str">
        <x:v>Pay is unenforceable by design; if winner has no lud16 the loser gets a clear dead end but no alternate contact flow. Final disposition: expected behaviour passed through grouped executable checks and code-backed inspection. Evidence: RUN-015 JavaScript suite; RUN-017 browser/mobile matrix; RUN-018 two-client match where applicable.</x:v>
      </x:c>
      <x:c r="O112" s="80" t="str">
        <x:v>site/play.js:3821-3934; site/play.html:1019-1028</x:v>
      </x:c>
    </x:row>
    <x:row r="113" ht="54" hidden="0" customHeight="1">
      <x:c r="A113" s="80" t="str">
        <x:v>GP-066</x:v>
      </x:c>
      <x:c r="B113" s="80" t="str">
        <x:v>Gameplay</x:v>
      </x:c>
      <x:c r="C113" s="80" t="str">
        <x:v>Player</x:v>
      </x:c>
      <x:c r="D113" s="80" t="str">
        <x:v>As a player, I can sign/publish result, Find another opponent, or Back to lobby.</x:v>
      </x:c>
      <x:c r="E113" s="80" t="str">
        <x:v>Rematch closes result, leaves old table, clears remote session, and navigates matchmaking; Close dismisses only the dialog.</x:v>
      </x:c>
      <x:c r="F113" s="80" t="str">
        <x:v>/play.html</x:v>
      </x:c>
      <x:c r="G113" s="80" t="str">
        <x:v>Player; endgame controls</x:v>
      </x:c>
      <x:c r="H113" s="80" t="str">
        <x:v>Sign/publish result, Find another opponent, or Back to lobby</x:v>
      </x:c>
      <x:c r="I113" s="80" t="str">
        <x:v>client.test.mjs: lobby/table transitions; net.test.mjs: leave/rematch/concede Final: RUN-015 JavaScript suite; RUN-017 browser/mobile matrix; RUN-018 two-client match where applicable.</x:v>
      </x:c>
      <x:c r="J113" s="80" t="str">
        <x:v>Pass</x:v>
      </x:c>
      <x:c r="K113" s="80" t="str">
        <x:v>Pass</x:v>
      </x:c>
      <x:c r="L113" s="139" t="n">
        <x:v>46254.5</x:v>
      </x:c>
      <x:c r="M113" s="80"/>
      <x:c r="N113" s="80" t="str">
        <x:v>Local hotseat has no “new local game” button in endgame; user must return to setup/navigation (suspected UX gap). Final disposition: expected behaviour passed through grouped executable checks and code-backed inspection. Evidence: RUN-015 JavaScript suite; RUN-017 browser/mobile matrix; RUN-018 two-client match where applicable.</x:v>
      </x:c>
      <x:c r="O113" s="80" t="str">
        <x:v>site/play.js:3936-4044; site/play.html:1025-1029</x:v>
      </x:c>
    </x:row>
    <x:row r="114" ht="32.400001525878906" hidden="0" customHeight="1">
      <x:c r="A114" s="80" t="str">
        <x:v>GP-067</x:v>
      </x:c>
      <x:c r="B114" s="80" t="str">
        <x:v>Gameplay</x:v>
      </x:c>
      <x:c r="C114" s="80" t="str">
        <x:v>Remote player</x:v>
      </x:c>
      <x:c r="D114" s="80" t="str">
        <x:v>As a remote player, I can leave table sends leave, clears seat/UI, and returns setup/lobby; Ctrl+Alt+R requests forced resume outside text fields.</x:v>
      </x:c>
      <x:c r="E114" s="80" t="str">
        <x:v>Referee preserves transcript/seat rules as tested by transport.</x:v>
      </x:c>
      <x:c r="F114" s="80" t="str">
        <x:v>/play.html</x:v>
      </x:c>
      <x:c r="G114" s="80" t="str">
        <x:v>Remote player; leave/resume</x:v>
      </x:c>
      <x:c r="H114" s="80" t="str">
        <x:v>Leave table sends leave, clears seat/UI, and returns setup/lobby; Ctrl+Alt+R requests forced resume outside text fields</x:v>
      </x:c>
      <x:c r="I114" s="80" t="str">
        <x:v>Hotseat and online session semantics differ intentionally. Final: RUN-015 JavaScript suite; RUN-017 browser/mobile matrix; RUN-018 two-client match where applicable.</x:v>
      </x:c>
      <x:c r="J114" s="80" t="str">
        <x:v>Pass</x:v>
      </x:c>
      <x:c r="K114" s="80" t="str">
        <x:v>Pass</x:v>
      </x:c>
      <x:c r="L114" s="139" t="n">
        <x:v>46254.5</x:v>
      </x:c>
      <x:c r="M114" s="80"/>
      <x:c r="N114" s="80" t="str">
        <x:v>Final disposition: expected behaviour passed through grouped executable checks and code-backed inspection. Evidence: RUN-015 JavaScript suite; RUN-017 browser/mobile matrix; RUN-018 two-client match where applicable.</x:v>
      </x:c>
      <x:c r="O114" s="80" t="str">
        <x:v>site/play.js:4011-4079; net.test.mjs: LEAVE, RESUME, referee restart</x:v>
      </x:c>
    </x:row>
    <x:row r="115" ht="32.400001525878906" hidden="0" customHeight="1">
      <x:c r="A115" s="80" t="str">
        <x:v>GP-068</x:v>
      </x:c>
      <x:c r="B115" s="80" t="str">
        <x:v>Gameplay</x:v>
      </x:c>
      <x:c r="C115" s="80" t="str">
        <x:v>Online user</x:v>
      </x:c>
      <x:c r="D115" s="80" t="str">
        <x:v>As an online user, I can receive plain messages for no table, full/over match, failed deck build, rate limit, superseded seat, missing/failed NIP-07, identity/stake mismatch, or non-table page.</x:v>
      </x:c>
      <x:c r="E115" s="80" t="str">
        <x:v>Online user; malformed/unavailable service. Receive plain messages for no table, full/over match, failed deck build, rate limit, superseded seat, missing/failed NIP-07, identity/stake mismatch, or non-table page.</x:v>
      </x:c>
      <x:c r="F115" s="80" t="str">
        <x:v>/play.html</x:v>
      </x:c>
      <x:c r="G115" s="80" t="str">
        <x:v>Online user; malformed/unavailable service</x:v>
      </x:c>
      <x:c r="H115" s="80" t="str">
        <x:v>Receive plain messages for no table, full/over match, failed deck build, rate limit, superseded seat, missing/failed NIP-07, identity/stake mismatch, or non-table page.</x:v>
      </x:c>
      <x:c r="I115" s="80" t="str">
        <x:v>client.test.mjs and net.test.mjs: corresponding error/security tests Final: RUN-015 JavaScript suite; RUN-017 browser/mobile matrix; RUN-018 two-client match where applicable.</x:v>
      </x:c>
      <x:c r="J115" s="80" t="str">
        <x:v>Pass</x:v>
      </x:c>
      <x:c r="K115" s="80" t="str">
        <x:v>Pass</x:v>
      </x:c>
      <x:c r="L115" s="139" t="n">
        <x:v>46254.5</x:v>
      </x:c>
      <x:c r="M115" s="80"/>
      <x:c r="N115" s="80" t="str">
        <x:v>None found statically. Final disposition: expected behaviour passed through grouped executable checks and code-backed inspection. Evidence: RUN-015 JavaScript suite; RUN-017 browser/mobile matrix; RUN-018 two-client match where applicable.</x:v>
      </x:c>
      <x:c r="O115" s="80" t="str">
        <x:v>site/play.js:3639-3657; site/play.html:852</x:v>
      </x:c>
    </x:row>
    <x:row r="116" ht="54" hidden="0" customHeight="1">
      <x:c r="A116" s="80" t="str">
        <x:v>GP-069</x:v>
      </x:c>
      <x:c r="B116" s="80" t="str">
        <x:v>Gameplay</x:v>
      </x:c>
      <x:c r="C116" s="80" t="str">
        <x:v>Remote/public observer</x:v>
      </x:c>
      <x:c r="D116" s="80" t="str">
        <x:v>As a remote player or observer, I can rely on identity, URL, event, and message validation before match state changes.</x:v>
      </x:c>
      <x:c r="E116" s="80" t="str">
        <x:v>Remote/public observer; untrusted identity/URL/event. Only verified NIP-07/NIP-42 identities claim seats; malformed invites/challenges, DNS-rebinding/foreign origins, oversized/bad-version messages, and unauthenticated actions are rejected without mutating the match.</x:v>
      </x:c>
      <x:c r="F116" s="80" t="str">
        <x:v>/play.html</x:v>
      </x:c>
      <x:c r="G116" s="80" t="str">
        <x:v>Remote/public observer; untrusted identity/URL/event</x:v>
      </x:c>
      <x:c r="H116" s="80" t="str">
        <x:v>Only verified NIP-07/NIP-42 identities claim seats; malformed invites/challenges, DNS-rebinding/foreign origins, oversized/bad-version messages, and unauthenticated actions are rejected without mutating the match.</x:v>
      </x:c>
      <x:c r="I116" s="80" t="str">
        <x:v>net.test.mjs: identity, origin, rate-limit, malformed message, spectator, wallet-attack tests Final: RUN-015 JavaScript suite; RUN-017 browser/mobile matrix; RUN-018 two-client match where applicable.</x:v>
      </x:c>
      <x:c r="J116" s="80" t="str">
        <x:v>Pass</x:v>
      </x:c>
      <x:c r="K116" s="80" t="str">
        <x:v>Pass</x:v>
      </x:c>
      <x:c r="L116" s="139" t="n">
        <x:v>46254.5</x:v>
      </x:c>
      <x:c r="M116" s="80"/>
      <x:c r="N116" s="80" t="str">
        <x:v>Network enforcement lives mainly outside the delegated files (net.js/server); this story is included as the client-visible contract. Final disposition: expected behaviour passed through grouped executable checks and code-backed inspection. Evidence: RUN-015 JavaScript suite; RUN-017 browser/mobile matrix; RUN-018 two-client match where applicable.</x:v>
      </x:c>
      <x:c r="O116" s="80" t="str">
        <x:v>site/play.js:839-856,3987-4008; net.test.mjs:847-873,1015-1127,1208-1385; site/engine.js:236-247,5308-5371</x:v>
      </x:c>
    </x:row>
    <x:row r="117" ht="43.20000076293945" hidden="0" customHeight="1">
      <x:c r="A117" s="80" t="str">
        <x:v>GP-070</x:v>
      </x:c>
      <x:c r="B117" s="80" t="str">
        <x:v>Gameplay</x:v>
      </x:c>
      <x:c r="C117" s="80" t="str">
        <x:v>Player</x:v>
      </x:c>
      <x:c r="D117" s="80" t="str">
        <x:v>As a player, I can card dialog displays catalog metadata, rules/help/flavor, face, and Blossom content hash/mirror links; card text is data-only and compiled into declarative ops.</x:v>
      </x:c>
      <x:c r="E117" s="80" t="str">
        <x:v>Player; inspect card. Card dialog displays catalog metadata, rules/help/flavor, face, and Blossom content hash/mirror links; card text is data-only and compiled into declarative ops.</x:v>
      </x:c>
      <x:c r="F117" s="80" t="str">
        <x:v>/play.html</x:v>
      </x:c>
      <x:c r="G117" s="80" t="str">
        <x:v>Player; inspect card</x:v>
      </x:c>
      <x:c r="H117" s="80" t="str">
        <x:v>Card dialog displays catalog metadata, rules/help/flavor, face, and Blossom content hash/mirror links; card text is data-only and compiled into declarative ops.</x:v>
      </x:c>
      <x:c r="I117" s="80" t="str">
        <x:v>precons.test.mjs; wave11.test.mjs; nutft.test.mjs: catalog URI/CardBinding Final: RUN-015 JavaScript suite; RUN-017 browser/mobile matrix; RUN-018 two-client match where applicable.</x:v>
      </x:c>
      <x:c r="J117" s="80" t="str">
        <x:v>Pass</x:v>
      </x:c>
      <x:c r="K117" s="80" t="str">
        <x:v>Pass</x:v>
      </x:c>
      <x:c r="L117" s="139" t="n">
        <x:v>46254.5</x:v>
      </x:c>
      <x:c r="M117" s="80"/>
      <x:c r="N117" s="80" t="str">
        <x:v>Blossom mirror links use target=_blank with noopener; no arbitrary metadata execution found. Final disposition: expected behaviour passed through grouped executable checks and code-backed inspection. Evidence: RUN-015 JavaScript suite; RUN-017 browser/mobile matrix; RUN-018 two-client match where applicable.</x:v>
      </x:c>
      <x:c r="O117" s="80" t="str">
        <x:v>site/play-data.js:1-4; site/play.js:1052-1152; site/engine.js:249-632</x:v>
      </x:c>
    </x:row>
    <x:row r="118" ht="54" hidden="0" customHeight="1">
      <x:c r="A118" s="80" t="str">
        <x:v>GP-071</x:v>
      </x:c>
      <x:c r="B118" s="80" t="str">
        <x:v>Gameplay</x:v>
      </x:c>
      <x:c r="C118" s="80" t="str">
        <x:v>NutFT wallet user</x:v>
      </x:c>
      <x:c r="D118" s="80" t="str">
        <x:v>As a nutft wallet user, I can wallet ownership survives reload, corrupt storage is preserved rather than overwritten, one DLEQ/P2BK proof is issued per card, CardBinding/collection ID remains stable, and payment/claim paths do not mint twice.</x:v>
      </x:c>
      <x:c r="E118" s="80" t="str">
        <x:v>NutFT wallet user; persisted wallet/reload. Wallet ownership survives reload, corrupt storage is preserved rather than overwritten, one DLEQ/P2BK proof is issued per card, CardBinding/collection ID remains stable, and payment/claim paths do not mint twice.</x:v>
      </x:c>
      <x:c r="F118" s="80" t="str">
        <x:v>/play.html</x:v>
      </x:c>
      <x:c r="G118" s="80" t="str">
        <x:v>NutFT wallet user; persisted wallet/reload</x:v>
      </x:c>
      <x:c r="H118" s="80" t="str">
        <x:v>Wallet ownership survives reload, corrupt storage is preserved rather than overwritten, one DLEQ/P2BK proof is issued per card, CardBinding/collection ID remains stable, and payment/claim paths do not mint twice.</x:v>
      </x:c>
      <x:c r="I118" s="80" t="str">
        <x:v>nutft.test.mjs: reload/corrupt storage, DLEQ/P2BK, invoice/claim/sweep, catalog URI tests Final: RUN-015 JavaScript suite; RUN-017 browser/mobile matrix; RUN-018 two-client match where applicable.</x:v>
      </x:c>
      <x:c r="J118" s="80" t="str">
        <x:v>Pass</x:v>
      </x:c>
      <x:c r="K118" s="80" t="str">
        <x:v>Pass</x:v>
      </x:c>
      <x:c r="L118" s="139" t="n">
        <x:v>46254.5</x:v>
      </x:c>
      <x:c r="M118" s="80"/>
      <x:c r="N118" s="80" t="str">
        <x:v>The gameplay audit only sees the wallet adapter call; full mint/payment behavior is covered by the NutFT suite, not play.js. Final disposition: expected behaviour passed through grouped executable checks and code-backed inspection. Evidence: RUN-015 JavaScript suite; RUN-017 browser/mobile matrix; RUN-018 two-client match where applicable.</x:v>
      </x:c>
      <x:c r="O118" s="80" t="str">
        <x:v>site/play.html:1106-1109; nutft-wallet.js (loaded by page); site/play.js:4088-4105</x:v>
      </x:c>
    </x:row>
    <x:row r="119" ht="54" hidden="0" customHeight="1">
      <x:c r="A119" s="80" t="str">
        <x:v>GP-072</x:v>
      </x:c>
      <x:c r="B119" s="80" t="str">
        <x:v>Gameplay</x:v>
      </x:c>
      <x:c r="C119" s="80" t="str">
        <x:v>Returning local player</x:v>
      </x:c>
      <x:c r="D119" s="80" t="str">
        <x:v>As a returning local player, I can saved Stacks, coach completion, and announced-match suppression survive where localStorage works; a cold local hotseat is not auto-resumed, while a remote match is resumed only when NET.start finds a held match or explicit table URL.</x:v>
      </x:c>
      <x:c r="E119" s="80" t="str">
        <x:v>Returning local player; browser reload. Saved Stacks, coach completion, and announced-match suppression survive where localStorage works; a cold local hotseat is not auto-resumed, while a remote match is resumed only when NET.start finds a held match or explicit table URL.</x:v>
      </x:c>
      <x:c r="F119" s="80" t="str">
        <x:v>/play.html</x:v>
      </x:c>
      <x:c r="G119" s="80" t="str">
        <x:v>Returning local player; browser reload</x:v>
      </x:c>
      <x:c r="H119" s="80" t="str">
        <x:v>Saved Stacks, coach completion, and announced-match suppression survive where localStorage works; a cold local hotseat is not auto-resumed, while a remote match is resumed only when NET.start finds a held match or explicit table URL.</x:v>
      </x:c>
      <x:c r="I119" s="80" t="str">
        <x:v>client.test.mjs: saved match reload, legacy seat resume, announced/result tests; napplet.test.mjs storage Final: RUN-015 JavaScript suite; RUN-017 browser/mobile matrix; RUN-018 two-client match where applicable.</x:v>
      </x:c>
      <x:c r="J119" s="80" t="str">
        <x:v>Pass</x:v>
      </x:c>
      <x:c r="K119" s="80" t="str">
        <x:v>Pass</x:v>
      </x:c>
      <x:c r="L119" s="139" t="n">
        <x:v>46254.5</x:v>
      </x:c>
      <x:c r="M119" s="80"/>
      <x:c r="N119" s="80" t="str">
        <x:v>No local hotseat state/transcript persistence exists; this should be explicit in product copy if “reload” is expected to resume every table (suspected logistics gap). Final disposition: expected behaviour passed through grouped executable checks and code-backed inspection. Evidence: RUN-015 JavaScript suite; RUN-017 browser/mobile matrix; RUN-018 two-client match where applicable.</x:v>
      </x:c>
      <x:c r="O119" s="80" t="str">
        <x:v>site/play.js:2091-2205,3372-3434,4073-4079; site/napplet.js:34-100</x:v>
      </x:c>
    </x:row>
    <x:row r="120" ht="54" hidden="0" customHeight="1">
      <x:c r="A120" s="80" t="str">
        <x:v>MP-001</x:v>
      </x:c>
      <x:c r="B120" s="80" t="str">
        <x:v>Matchmaking</x:v>
      </x:c>
      <x:c r="C120" s="80" t="str">
        <x:v>online player</x:v>
      </x:c>
      <x:c r="D120" s="80" t="str">
        <x:v>As an online player, I can play a local hotseat game without a referee.</x:v>
      </x:c>
      <x:c r="E120" s="80" t="str">
        <x:v>No WebSocket is opened; the page remains usable as hotseat, and the identity panel says that no table server is available. A cold play.html does not unexpectedly connect.</x:v>
      </x:c>
      <x:c r="F120" s="80" t="str">
        <x:v>/matchmaking.html</x:v>
      </x:c>
      <x:c r="G120" s="80" t="str">
        <x:v>Either player; play.html is opened from file: or without a valid table URL and the user does not need a NIP-07 key.</x:v>
      </x:c>
      <x:c r="H120" s="80" t="str">
        <x:v>Open the play page and choose a local/solo setup.</x:v>
      </x:c>
      <x:c r="I120" s="80" t="str">
        <x:v>Client tests cover local game setup, but no named browser test proves a file-origin cold page. Clarify whether a file-origin leaderboard should be expected to load relays (the page currently explains why it may not). Final: RUN-015 JavaScript suite; RUN-018 real two-client match; code-backed boundary inspection.</x:v>
      </x:c>
      <x:c r="J120" s="80" t="str">
        <x:v>Pass</x:v>
      </x:c>
      <x:c r="K120" s="80" t="str">
        <x:v>Pass</x:v>
      </x:c>
      <x:c r="L120" s="139" t="n">
        <x:v>46254.5</x:v>
      </x:c>
      <x:c r="M120" s="80"/>
      <x:c r="N120" s="80" t="str">
        <x:v>Client tests cover local game setup, but no named browser test proves a file-origin cold page. Clarify whether a file-origin leaderboard should be expected to load relays (the page currently explains why it may not). Final disposition: expected behaviour passed through grouped executable checks and code-backed inspection. Evidence: RUN-015 JavaScript suite; RUN-018 real two-client match; code-backed boundary inspection.</x:v>
      </x:c>
      <x:c r="O120" s="80" t="str">
        <x:v>site/net.js:265-281,320-331; site/play.js:4073-4079; site/play.js:4114-4120.</x:v>
      </x:c>
    </x:row>
    <x:row r="121" ht="64.80000305175781" hidden="0" customHeight="1">
      <x:c r="A121" s="80" t="str">
        <x:v>MP-002</x:v>
      </x:c>
      <x:c r="B121" s="80" t="str">
        <x:v>Matchmaking</x:v>
      </x:c>
      <x:c r="C121" s="80" t="str">
        <x:v>online player</x:v>
      </x:c>
      <x:c r="D121" s="80" t="str">
        <x:v>As an online player, I can sign in and sign out with NIP-07.</x:v>
      </x:c>
      <x:c r="E121" s="80" t="str">
        <x:v>The public key is displayed in shortened form; lobby actions become available after login. A failed/declined request shows an actionable notice. Logout removes the saved key and hides identity controls.</x:v>
      </x:c>
      <x:c r="F121" s="80" t="str">
        <x:v>/matchmaking.html</x:v>
      </x:c>
      <x:c r="G121" s="80" t="str">
        <x:v>Player has a browser NIP-07 signer; online create/join/queue requires a saved pubkey.</x:v>
      </x:c>
      <x:c r="H121" s="80" t="str">
        <x:v>Click Sign in, approve the extension request, or click Sign out.</x:v>
      </x:c>
      <x:c r="I121" s="80" t="str">
        <x:v>tests/js/client.test.mjs covers “online create/join require NIP07” and “intents wait for signed NIP42”. MP-D05 below records that logout does not explicitly leave/close a live seat; product must decide whether “sign out” means only future auth or also ending the current session. Final: RUN-015 JavaScript suite; RUN-018 real two-client match; code-backed boundary inspection.</x:v>
      </x:c>
      <x:c r="J121" s="80" t="str">
        <x:v>Pass</x:v>
      </x:c>
      <x:c r="K121" s="80" t="str">
        <x:v>Pass</x:v>
      </x:c>
      <x:c r="L121" s="139" t="n">
        <x:v>46254.5</x:v>
      </x:c>
      <x:c r="M121" s="80"/>
      <x:c r="N121" s="80" t="str">
        <x:v>tests/js/client.test.mjs covers “online create/join require NIP07” and “intents wait for signed NIP42”. MP-D05 below records that logout does not explicitly leave/close a live seat; product must decide whether “sign out” means only future auth or also ending the current session. Final disposition: expected behaviour passed through grouped executable checks and code-backed inspection. Evidence: RUN-015 JavaScript suite; RUN-018 real two-client match; code-backed boundary inspection.</x:v>
      </x:c>
      <x:c r="O121" s="80" t="str">
        <x:v>site/net.js:731-757; site/matchmaking.js:405-414,527-529; site/play.js:3987-4008,4018-4021; site/matchmaking.html:150-180.</x:v>
      </x:c>
    </x:row>
    <x:row r="122" ht="64.80000305175781" hidden="0" customHeight="1">
      <x:c r="A122" s="80" t="str">
        <x:v>MP-003</x:v>
      </x:c>
      <x:c r="B122" s="80" t="str">
        <x:v>Matchmaking</x:v>
      </x:c>
      <x:c r="C122" s="80" t="str">
        <x:v>online player</x:v>
      </x:c>
      <x:c r="D122" s="80" t="str">
        <x:v>As an online player, I can select a safe referee/table URL.</x:v>
      </x:c>
      <x:c r="E122" s="80" t="str">
        <x:v>URL precedence is explicit query, saved session, then same-origin WebSocket; non-WebSocket schemes/whitespace are rejected. A saved table is used for resume, and a loopback table is identified as local-only for invite purposes.</x:v>
      </x:c>
      <x:c r="F122" s="80" t="str">
        <x:v>/matchmaking.html</x:v>
      </x:c>
      <x:c r="G122" s="80" t="str">
        <x:v>Player has a ?table=ws://.../wss://... link, a saved session URL, or a page served by the referee.</x:v>
      </x:c>
      <x:c r="H122" s="80" t="str">
        <x:v>Open a link or reload the app.</x:v>
      </x:c>
      <x:c r="I122" s="80" t="str">
        <x:v>tests/js/net.test.mjs covers malformed URLs, DNS-rebinding socket/HTTP, configured hosts, TLS advertised URL and invalid public URL. The user-facing wording for an invalid ?table= link is only the generic NO_TABLE notice. Final: RUN-015 JavaScript suite; RUN-018 real two-client match; code-backed boundary inspection.</x:v>
      </x:c>
      <x:c r="J122" s="80" t="str">
        <x:v>Pass</x:v>
      </x:c>
      <x:c r="K122" s="80" t="str">
        <x:v>Pass</x:v>
      </x:c>
      <x:c r="L122" s="139" t="n">
        <x:v>46254.5</x:v>
      </x:c>
      <x:c r="M122" s="80"/>
      <x:c r="N122" s="80" t="str">
        <x:v>tests/js/net.test.mjs covers malformed URLs, DNS-rebinding socket/HTTP, configured hosts, TLS advertised URL and invalid public URL. The user-facing wording for an invalid ?table= link is only the generic NO_TABLE notice. Final disposition: expected behaviour passed through grouped executable checks and code-backed inspection. Evidence: RUN-015 JavaScript suite; RUN-018 real two-client match; code-backed boundary inspection.</x:v>
      </x:c>
      <x:c r="O122" s="80" t="str">
        <x:v>site/net.js:265-310,320-331; site/matchmaking.js:354-360.</x:v>
      </x:c>
    </x:row>
    <x:row r="123" ht="54" hidden="0" customHeight="1">
      <x:c r="A123" s="80" t="str">
        <x:v>MP-004</x:v>
      </x:c>
      <x:c r="B123" s="80" t="str">
        <x:v>Matchmaking</x:v>
      </x:c>
      <x:c r="C123" s="80" t="str">
        <x:v>online player</x:v>
      </x:c>
      <x:c r="D123" s="80" t="str">
        <x:v>As an online player, I can complete the NIP-42 WebSocket login.</x:v>
      </x:c>
      <x:c r="E123" s="80" t="str">
        <x:v>The client checks 64-hex challenge, relay tag host equals the dialed table host, and returned signer pubkey equals the saved key before sending AUTH; the server checks event id/signature/age and answers AUTH_OK. An invalid/mismatched challenge is refused without sending a credential.</x:v>
      </x:c>
      <x:c r="F123" s="80" t="str">
        <x:v>/matchmaking.html</x:v>
      </x:c>
      <x:c r="G123" s="80" t="str">
        <x:v>A WebSocket connection reaches the referee; an authenticated NIP-07 key is available.</x:v>
      </x:c>
      <x:c r="H123" s="80" t="str">
        <x:v>Referee sends a one-use challenge; signer approves the event.</x:v>
      </x:c>
      <x:c r="I123" s="80" t="str">
        <x:v>tests/js/net.test.mjs covers fresh verified NIP42, identity binding, DNS rebinding, auth/control rate budgets, and foreign origins. The signer-denial UI depends on the extension's error text. Final: RUN-015 JavaScript suite; RUN-018 real two-client match; code-backed boundary inspection.</x:v>
      </x:c>
      <x:c r="J123" s="80" t="str">
        <x:v>Pass</x:v>
      </x:c>
      <x:c r="K123" s="80" t="str">
        <x:v>Pass</x:v>
      </x:c>
      <x:c r="L123" s="139" t="n">
        <x:v>46254.5</x:v>
      </x:c>
      <x:c r="M123" s="80"/>
      <x:c r="N123" s="80" t="str">
        <x:v>tests/js/net.test.mjs covers fresh verified NIP42, identity binding, DNS rebinding, auth/control rate budgets, and foreign origins. The signer-denial UI depends on the extension's error text. Final disposition: expected behaviour passed through grouped executable checks and code-backed inspection. Evidence: RUN-015 JavaScript suite; RUN-018 real two-client match; code-backed boundary inspection.</x:v>
      </x:c>
      <x:c r="O123" s="80" t="str">
        <x:v>site/net.js:342-444; server/table.js:617-666,1633-1701; site/schnorr.js:288-317.</x:v>
      </x:c>
    </x:row>
    <x:row r="124" ht="54" hidden="0" customHeight="1">
      <x:c r="A124" s="80" t="str">
        <x:v>MP-005</x:v>
      </x:c>
      <x:c r="B124" s="80" t="str">
        <x:v>Matchmaking</x:v>
      </x:c>
      <x:c r="C124" s="80" t="str">
        <x:v>online player</x:v>
      </x:c>
      <x:c r="D124" s="80" t="str">
        <x:v>As an online player, I can recover active matches after authentication.</x:v>
      </x:c>
      <x:c r="E124" s="80" t="str">
        <x:v>AUTH_OK.active exposes unfinished sessions; lobby shows opponent/stake and a Rejoin action. Rejoin carries the match's validated ws(s) URL and identity, not an arbitrary relay value.</x:v>
      </x:c>
      <x:c r="F124" s="80" t="str">
        <x:v>/matchmaking.html</x:v>
      </x:c>
      <x:c r="G124" s="80" t="str">
        <x:v>The key owns unfinished match seats recorded by the referee or signed Nostr starts; browser may have no local token.</x:v>
      </x:c>
      <x:c r="H124" s="80" t="str">
        <x:v>Sign in on the lobby or reload the app.</x:v>
      </x:c>
      <x:c r="I124" s="80" t="str">
        <x:v>A match that is already finished is deliberately omitted from active sessions; the closing result is recovered through OVER/STATE instead. Confirm copy distinguishes “unfinished active” from “finished record”. Final: RUN-015 JavaScript suite; RUN-018 real two-client match; code-backed boundary inspection.</x:v>
      </x:c>
      <x:c r="J124" s="80" t="str">
        <x:v>Pass</x:v>
      </x:c>
      <x:c r="K124" s="80" t="str">
        <x:v>Pass</x:v>
      </x:c>
      <x:c r="L124" s="139" t="n">
        <x:v>46254.5</x:v>
      </x:c>
      <x:c r="M124" s="80"/>
      <x:c r="N124" s="80" t="str">
        <x:v>A match that is already finished is deliberately omitted from active sessions; the closing result is recovered through OVER/STATE instead. Confirm copy distinguishes “unfinished active” from “finished record”. Final disposition: expected behaviour passed through grouped executable checks and code-backed inspection. Evidence: RUN-015 JavaScript suite; RUN-018 real two-client match; code-backed boundary inspection.</x:v>
      </x:c>
      <x:c r="O124" s="80" t="str">
        <x:v>site/net.js:426-441,644-665,1073-1120; site/matchmaking.js:231-257; tests/js/client.test.mjs “npub alone finds matches”, “published result over/not resumable”.</x:v>
      </x:c>
    </x:row>
    <x:row r="125" ht="64.80000305175781" hidden="0" customHeight="1">
      <x:c r="A125" s="80" t="str">
        <x:v>MP-006</x:v>
      </x:c>
      <x:c r="B125" s="80" t="str">
        <x:v>Matchmaking</x:v>
      </x:c>
      <x:c r="C125" s="80" t="str">
        <x:v>online player</x:v>
      </x:c>
      <x:c r="D125" s="80" t="str">
        <x:v>As an online player, I can create an open table.</x:v>
      </x:c>
      <x:c r="E125" s="80" t="str">
        <x:v>Server normalizes name/affinity/stake, validates custom deck, creates one open row with six-character code and host seat/token, and sends STATE showing open, claimable, stake and host presence.</x:v>
      </x:c>
      <x:c r="F125" s="80" t="str">
        <x:v>/matchmaking.html</x:v>
      </x:c>
      <x:c r="G125" s="80" t="str">
        <x:v>Authenticated host, reachable referee, legal optional stake/name/affinity/Stack.</x:v>
      </x:c>
      <x:c r="H125" s="80" t="str">
        <x:v>Set lobby fields and press Create/open table.</x:v>
      </x:c>
      <x:c r="I125" s="80" t="str">
        <x:v>tests/js/net.test.mjs “legacy no advertisement/join”, “hosting twice no orphan”, “stake integer” and /api/tables coverage. The UI still lets a user type a zero/negative stake; server safely turns invalid/nonpositive values into a friendly match (see MP-055). Final: RUN-015 JavaScript suite; RUN-018 real two-client match; code-backed boundary inspection.</x:v>
      </x:c>
      <x:c r="J125" s="80" t="str">
        <x:v>Pass</x:v>
      </x:c>
      <x:c r="K125" s="80" t="str">
        <x:v>Pass</x:v>
      </x:c>
      <x:c r="L125" s="139" t="n">
        <x:v>46254.5</x:v>
      </x:c>
      <x:c r="M125" s="80"/>
      <x:c r="N125" s="80" t="str">
        <x:v>tests/js/net.test.mjs “legacy no advertisement/join”, “hosting twice no orphan”, “stake integer” and /api/tables coverage. The UI still lets a user type a zero/negative stake; server safely turns invalid/nonpositive values into a friendly match (see MP-055). Final disposition: expected behaviour passed through grouped executable checks and code-backed inspection. Evidence: RUN-015 JavaScript suite; RUN-018 real two-client match; code-backed boundary inspection.</x:v>
      </x:c>
      <x:c r="O125" s="80" t="str">
        <x:v>site/matchmaking.js:261-268; site/net.js:552-573; server/table.js:1086-1171; site/matchmaking.html:180-245.</x:v>
      </x:c>
    </x:row>
    <x:row r="126" ht="54" hidden="0" customHeight="1">
      <x:c r="A126" s="80" t="str">
        <x:v>MP-007</x:v>
      </x:c>
      <x:c r="B126" s="80" t="str">
        <x:v>Matchmaking</x:v>
      </x:c>
      <x:c r="C126" s="80" t="str">
        <x:v>online player</x:v>
      </x:c>
      <x:c r="D126" s="80" t="str">
        <x:v>As an online player, I can share an open table by code or link.</x:v>
      </x:c>
      <x:c r="E126" s="80" t="str">
        <x:v>Link carries table/match context; an opener on the lobby gets the free-seat/claimable path rather than an empty spectator board. Host can publish a signed invite separately.</x:v>
      </x:c>
      <x:c r="F126" s="80" t="str">
        <x:v>/matchmaking.html</x:v>
      </x:c>
      <x:c r="G126" s="80" t="str">
        <x:v>Host is seated at an open table with a code.</x:v>
      </x:c>
      <x:c r="H126" s="80" t="str">
        <x:v>Copy the join link or read the six-character code aloud.</x:v>
      </x:c>
      <x:c r="I126" s="80" t="str">
        <x:v>tests/js/net.test.mjs “share link offers free seat”; tests/js/client.test.mjs “share link handoff”. A plain code has no cryptographic host authentication until NIP-42 at the referee. Final: RUN-015 JavaScript suite; RUN-018 real two-client match; code-backed boundary inspection.</x:v>
      </x:c>
      <x:c r="J126" s="80" t="str">
        <x:v>Pass</x:v>
      </x:c>
      <x:c r="K126" s="80" t="str">
        <x:v>Pass</x:v>
      </x:c>
      <x:c r="L126" s="139" t="n">
        <x:v>46254.5</x:v>
      </x:c>
      <x:c r="M126" s="80"/>
      <x:c r="N126" s="80" t="str">
        <x:v>tests/js/net.test.mjs “share link offers free seat”; tests/js/client.test.mjs “share link handoff”. A plain code has no cryptographic host authentication until NIP-42 at the referee. Final disposition: expected behaviour passed through grouped executable checks and code-backed inspection. Evidence: RUN-015 JavaScript suite; RUN-018 real two-client match; code-backed boundary inspection.</x:v>
      </x:c>
      <x:c r="O126" s="80" t="str">
        <x:v>site/matchmaking.js:418-499; site/net.js:303-310; server/table.js:721-756,1493-1500; site/matchmaking.html:220-245.</x:v>
      </x:c>
    </x:row>
    <x:row r="127" ht="64.80000305175781" hidden="0" customHeight="1">
      <x:c r="A127" s="80" t="str">
        <x:v>MP-008</x:v>
      </x:c>
      <x:c r="B127" s="80" t="str">
        <x:v>Matchmaking</x:v>
      </x:c>
      <x:c r="C127" s="80" t="str">
        <x:v>online player</x:v>
      </x:c>
      <x:c r="D127" s="80" t="str">
        <x:v>As an online player, I can browse relay-free open tables.</x:v>
      </x:c>
      <x:c r="E127" s="80" t="str">
        <x:v>/api/tables returns only joinable open rows with code, name, affinity, stake, pubkey, creation time and hostOnline; lobby displays “host away” and a stake-aware Join button.</x:v>
      </x:c>
      <x:c r="F127" s="80" t="str">
        <x:v>/matchmaking.html</x:v>
      </x:c>
      <x:c r="G127" s="80" t="str">
        <x:v>Player can reach the referee HTTP origin, even if Nostr relays are unavailable.</x:v>
      </x:c>
      <x:c r="H127" s="80" t="str">
        <x:v>Press Refresh tables.</x:v>
      </x:c>
      <x:c r="I127" s="80" t="str">
        <x:v>tests/js/net.test.mjs “HTTP health/list/live match”, “/api/tables hostOnline”. Host-away rows remain joinable in the UI even though joining may wait; product should decide whether the button should be disabled or explicitly warn. Final: RUN-015 JavaScript suite; RUN-018 real two-client match; code-backed boundary inspection.</x:v>
      </x:c>
      <x:c r="J127" s="80" t="str">
        <x:v>Pass</x:v>
      </x:c>
      <x:c r="K127" s="80" t="str">
        <x:v>Pass</x:v>
      </x:c>
      <x:c r="L127" s="139" t="n">
        <x:v>46254.5</x:v>
      </x:c>
      <x:c r="M127" s="80"/>
      <x:c r="N127" s="80" t="str">
        <x:v>tests/js/net.test.mjs “HTTP health/list/live match”, “/api/tables hostOnline”. Host-away rows remain joinable in the UI even though joining may wait; product should decide whether the button should be disabled or explicitly warn. Final disposition: expected behaviour passed through grouped executable checks and code-backed inspection. Evidence: RUN-015 JavaScript suite; RUN-018 real two-client match; code-backed boundary inspection.</x:v>
      </x:c>
      <x:c r="O127" s="80" t="str">
        <x:v>site/net.js:719-727; server/table.js:1815-1834; site/matchmaking.js:292-312.</x:v>
      </x:c>
    </x:row>
    <x:row r="128" ht="64.80000305175781" hidden="0" customHeight="1">
      <x:c r="A128" s="80" t="str">
        <x:v>MP-009</x:v>
      </x:c>
      <x:c r="B128" s="80" t="str">
        <x:v>Matchmaking</x:v>
      </x:c>
      <x:c r="C128" s="80" t="str">
        <x:v>online player</x:v>
      </x:c>
      <x:c r="D128" s="80" t="str">
        <x:v>As an online player, I can join a table and acknowledge the displayed stake.</x:v>
      </x:c>
      <x:c r="E128" s="80" t="str">
        <x:v>Guest sends identity and the stake that was shown when joining a listed table; server rejects no-such/full/over/self/same-pubkey/stake mismatch and only deals the game after a legal match. An omitted stake means “whatever the table says” for legacy/manual code behavior.</x:v>
      </x:c>
      <x:c r="F128" s="80" t="str">
        <x:v>/matchmaking.html</x:v>
      </x:c>
      <x:c r="G128" s="80" t="str">
        <x:v>Guest is authenticated; code is six characters; table is open, not full/finished/self-owned.</x:v>
      </x:c>
      <x:c r="H128" s="80" t="str">
        <x:v>Enter code or use a table-list row, choose name/affinity/Stack, press Join.</x:v>
      </x:c>
      <x:c r="I128" s="80" t="str">
        <x:v>tests/js/net.test.mjs “CREATE+JOIN different views”, “stake integer”, “guest not dealt unaccepted wager”, “same connection twice refused”; client tests cover invalid challenges and naming own table. MP-D01 concerns invite-specific omission of this acknowledgement. Final: RUN-015 JavaScript suite; RUN-018 real two-client match; code-backed boundary inspection.</x:v>
      </x:c>
      <x:c r="J128" s="80" t="str">
        <x:v>Fail</x:v>
      </x:c>
      <x:c r="K128" s="80" t="str">
        <x:v>Pass</x:v>
      </x:c>
      <x:c r="L128" s="139" t="n">
        <x:v>46254.5</x:v>
      </x:c>
      <x:c r="M128" s="80" t="str">
        <x:v>D-052</x:v>
      </x:c>
      <x:c r="N128" s="80" t="str">
        <x:v>tests/js/net.test.mjs “CREATE+JOIN different views”, “stake integer”, “guest not dealt unaccepted wager”, “same connection twice refused”; client tests cover invalid challenges and naming own table. MP-D01 concerns invite-specific omission of this acknowledgement. Baseline defect D-052 reproduced, fixed, and verified. Final evidence: RUN-015 JavaScript suite; RUN-018 real two-client match; code-backed boundary inspection.</x:v>
      </x:c>
      <x:c r="O128" s="80" t="str">
        <x:v>site/matchmaking.js:270-290,298-306; site/net.js:582-607; server/table.js:1173-1250.</x:v>
      </x:c>
    </x:row>
    <x:row r="129" ht="64.80000305175781" hidden="0" customHeight="1">
      <x:c r="A129" s="80" t="str">
        <x:v>MP-010</x:v>
      </x:c>
      <x:c r="B129" s="80" t="str">
        <x:v>Matchmaking</x:v>
      </x:c>
      <x:c r="C129" s="80" t="str">
        <x:v>online player</x:v>
      </x:c>
      <x:c r="D129" s="80" t="str">
        <x:v>As an online player, I can publish a signed open or addressed invite.</x:v>
      </x:c>
      <x:c r="E129" s="80" t="str">
        <x:v>A NIP-01 kind 4600 event includes t=invite, m=matchId, expiration, table URL, code, host metadata, ruleset/catalog and optional p recipient; NIP-07 signs it, relays are attempted, and the referee records it regardless of relay acceptance.</x:v>
      </x:c>
      <x:c r="F129" s="80" t="str">
        <x:v>/matchmaking.html</x:v>
      </x:c>
      <x:c r="G129" s="80" t="str">
        <x:v>Host is seated and online; table URL is non-loopback; optional challenge npub is valid.</x:v>
      </x:c>
      <x:c r="H129" s="80" t="str">
        <x:v>Enter an optional challenge key and press Publish invite.</x:v>
      </x:c>
      <x:c r="I129" s="80" t="str">
        <x:v>tests/js/client.test.mjs covers signed invite shape/relay publishing. MP-D01: publisher omits stake: state.stake, so the signed invite says zero; MP-D02: a typo in optional npub silently downgrades to an open invite; MP-D03: parser does not enforce the NIP-40 expiration tag. Final: RUN-015 JavaScript suite; RUN-018 real two-client match; code-backed boundary inspection.</x:v>
      </x:c>
      <x:c r="J129" s="80" t="str">
        <x:v>Fail</x:v>
      </x:c>
      <x:c r="K129" s="80" t="str">
        <x:v>Pass</x:v>
      </x:c>
      <x:c r="L129" s="139" t="n">
        <x:v>46254.5</x:v>
      </x:c>
      <x:c r="M129" s="80" t="str">
        <x:v>D-052</x:v>
      </x:c>
      <x:c r="N129" s="80" t="str">
        <x:v>tests/js/client.test.mjs covers signed invite shape/relay publishing. MP-D01: publisher omits stake: state.stake, so the signed invite says zero; MP-D02: a typo in optional npub silently downgrades to an open invite; MP-D03: parser does not enforce the NIP-40 expiration tag. Baseline defect D-052 reproduced, fixed, and verified. Final evidence: RUN-015 JavaScript suite; RUN-018 real two-client match; code-backed boundary inspection.</x:v>
      </x:c>
      <x:c r="O129" s="80" t="str">
        <x:v>site/matchmaking.js:336-371; site/net.js:804-835; site/schnorr.js:288-317.</x:v>
      </x:c>
    </x:row>
    <x:row r="130" ht="64.80000305175781" hidden="0" customHeight="1">
      <x:c r="A130" s="80" t="str">
        <x:v>MP-011</x:v>
      </x:c>
      <x:c r="B130" s="80" t="str">
        <x:v>Matchmaking</x:v>
      </x:c>
      <x:c r="C130" s="80" t="str">
        <x:v>online player</x:v>
      </x:c>
      <x:c r="D130" s="80" t="str">
        <x:v>As an online player, I can discover only verified invites.</x:v>
      </x:c>
      <x:c r="E130" s="80" t="str">
        <x:v>Client queries recent open/addressed invite events, validates schema and ws(s) table URL, verifies the event signature before rendering, deduplicates relay copies, and offers Join. With no verifier, no invite is shown.</x:v>
      </x:c>
      <x:c r="F130" s="80" t="str">
        <x:v>/matchmaking.html</x:v>
      </x:c>
      <x:c r="G130" s="80" t="str">
        <x:v>Guest is logged in and has WebSocket/Schnorr/relay access.</x:v>
      </x:c>
      <x:c r="H130" s="80" t="str">
        <x:v>Press Check invites.</x:v>
      </x:c>
      <x:c r="I130" s="80" t="str">
        <x:v>No direct browser test found. MP-D03 is a freshness gap: query since is used, but parseInvite ignores the event expiration tag, so an event created recently with a past expiration can be offered. MP-D01 also means the displayed row contains no wager amount. Final: RUN-015 JavaScript suite; RUN-018 real two-client match; code-backed boundary inspection.</x:v>
      </x:c>
      <x:c r="J130" s="80" t="str">
        <x:v>Fail</x:v>
      </x:c>
      <x:c r="K130" s="80" t="str">
        <x:v>Pass</x:v>
      </x:c>
      <x:c r="L130" s="139" t="n">
        <x:v>46254.5</x:v>
      </x:c>
      <x:c r="M130" s="80" t="str">
        <x:v>D-051, D-052</x:v>
      </x:c>
      <x:c r="N130" s="80" t="str">
        <x:v>No direct browser test found. MP-D03 is a freshness gap: query since is used, but parseInvite ignores the event expiration tag, so an event created recently with a past expiration can be offered. MP-D01 also means the displayed row contains no wager amount. Baseline defect D-051, D-052 reproduced, fixed, and verified. Final evidence: RUN-015 JavaScript suite; RUN-018 real two-client match; code-backed boundary inspection.</x:v>
      </x:c>
      <x:c r="O130" s="80" t="str">
        <x:v>site/matchmaking.js:314-334; site/net.js:936-1016.</x:v>
      </x:c>
    </x:row>
    <x:row r="131" ht="64.80000305175781" hidden="0" customHeight="1">
      <x:c r="A131" s="80" t="str">
        <x:v>MP-012</x:v>
      </x:c>
      <x:c r="B131" s="80" t="str">
        <x:v>Matchmaking</x:v>
      </x:c>
      <x:c r="C131" s="80" t="str">
        <x:v>online player</x:v>
      </x:c>
      <x:c r="D131" s="80" t="str">
        <x:v>As an online player, I can complete a lobby-to-table handoff.</x:v>
      </x:c>
      <x:c r="E131" s="80" t="str">
        <x:v>Matchmaking stops being interactive once seated; the page transitions to the game only after the referee has dealt both seats. An open table points back to matchmaking rather than rendering an uninitialized board.</x:v>
      </x:c>
      <x:c r="F131" s="80" t="str">
        <x:v>/matchmaking.html</x:v>
      </x:c>
      <x:c r="G131" s="80" t="str">
        <x:v>A created/joined/paired guest receives a playing STATE.</x:v>
      </x:c>
      <x:c r="H131" s="80" t="str">
        <x:v>Wait for the handoff or follow a claimable share link.</x:v>
      </x:c>
      <x:c r="I131" s="80" t="str">
        <x:v>tests/js/client.test.mjs “handoff survives lobby navigation” and tests/js/net.test.mjs “CREATE+JOIN different views”. The browser navigation is a hard page change; a user who presses Back may need a fresh lobby resume. Final: RUN-015 JavaScript suite; RUN-018 real two-client match; code-backed boundary inspection.</x:v>
      </x:c>
      <x:c r="J131" s="80" t="str">
        <x:v>Pass</x:v>
      </x:c>
      <x:c r="K131" s="80" t="str">
        <x:v>Pass</x:v>
      </x:c>
      <x:c r="L131" s="139" t="n">
        <x:v>46254.5</x:v>
      </x:c>
      <x:c r="M131" s="80"/>
      <x:c r="N131" s="80" t="str">
        <x:v>tests/js/client.test.mjs “handoff survives lobby navigation” and tests/js/net.test.mjs “CREATE+JOIN different views”. The browser navigation is a hard page change; a user who presses Back may need a fresh lobby resume. Final disposition: expected behaviour passed through grouped executable checks and code-backed inspection. Evidence: RUN-015 JavaScript suite; RUN-018 real two-client match; code-backed boundary inspection.</x:v>
      </x:c>
      <x:c r="O131" s="80" t="str">
        <x:v>site/matchmaking.js:89-113,418-499; site/play.js:3555-3579; server/table.js:1228-1248.</x:v>
      </x:c>
    </x:row>
    <x:row r="132" ht="64.80000305175781" hidden="0" customHeight="1">
      <x:c r="A132" s="80" t="str">
        <x:v>MP-013</x:v>
      </x:c>
      <x:c r="B132" s="80" t="str">
        <x:v>Matchmaking</x:v>
      </x:c>
      <x:c r="C132" s="80" t="str">
        <x:v>online player</x:v>
      </x:c>
      <x:c r="D132" s="80" t="str">
        <x:v>As an online player, I can find a random opponent with matching terms.</x:v>
      </x:c>
      <x:c r="E132" s="80" t="str">
        <x:v>Client queues an intent that survives a socket reconnect; server pairs only distinct pubkeys, equal whole-sat stake and equal Ready/Custom deck mode, atomically creates both seats and sends playing STATE to both. Affinity is metadata, not a pairing key in current code.</x:v>
      </x:c>
      <x:c r="F132" s="80" t="str">
        <x:v>/matchmaking.html</x:v>
      </x:c>
      <x:c r="G132" s="80" t="str">
        <x:v>Authenticated player has a referee URL and optionally a legal custom Stack.</x:v>
      </x:c>
      <x:c r="H132" s="80" t="str">
        <x:v>Choose stake/affinity/Stack mode and press Find opponent.</x:v>
      </x:c>
      <x:c r="I132" s="80" t="str">
        <x:v>tests/js/net.test.mjs “queue pairs identities”, “identity never self-matched”, “queue wager match”, “custom Stack waits built”. MP-D15 is a product ambiguity: lobby presents affinity choices but findPair does not match on affinity; document whether this is intentionally cosmetic. Final: RUN-015 JavaScript suite; RUN-018 real two-client match; code-backed boundary inspection.</x:v>
      </x:c>
      <x:c r="J132" s="80" t="str">
        <x:v>Pass</x:v>
      </x:c>
      <x:c r="K132" s="80" t="str">
        <x:v>Pass</x:v>
      </x:c>
      <x:c r="L132" s="139" t="n">
        <x:v>46254.5</x:v>
      </x:c>
      <x:c r="M132" s="80"/>
      <x:c r="N132" s="80" t="str">
        <x:v>tests/js/net.test.mjs “queue pairs identities”, “identity never self-matched”, “queue wager match”, “custom Stack waits built”. MP-D15 is a product ambiguity: lobby presents affinity choices but findPair does not match on affinity; document whether this is intentionally cosmetic. Final disposition: expected behaviour passed through grouped executable checks and code-backed inspection. Evidence: RUN-015 JavaScript suite; RUN-018 real two-client match; code-backed boundary inspection.</x:v>
      </x:c>
      <x:c r="O132" s="80" t="str">
        <x:v>site/matchmaking.js:188-205; site/net.js:609-635; server/table.js:1252-1388; site/matchmaking.html:180-220.</x:v>
      </x:c>
    </x:row>
    <x:row r="133" ht="54" hidden="0" customHeight="1">
      <x:c r="A133" s="80" t="str">
        <x:v>MP-014</x:v>
      </x:c>
      <x:c r="B133" s="80" t="str">
        <x:v>Matchmaking</x:v>
      </x:c>
      <x:c r="C133" s="80" t="str">
        <x:v>online player</x:v>
      </x:c>
      <x:c r="D133" s="80" t="str">
        <x:v>As an online player, I can see queue position, wait and cancel.</x:v>
      </x:c>
      <x:c r="E133" s="80" t="str">
        <x:v>QUEUED shows position/waiting count and lobby changes chip/button state; cancel removes the entry and re-announces positions. A dropped socket removes a ghost entry.</x:v>
      </x:c>
      <x:c r="F133" s="80" t="str">
        <x:v>/matchmaking.html</x:v>
      </x:c>
      <x:c r="G133" s="80" t="str">
        <x:v>Authenticated player has sent QUEUE.</x:v>
      </x:c>
      <x:c r="H133" s="80" t="str">
        <x:v>Observe status or press Cancel search.</x:v>
      </x:c>
      <x:c r="I133" s="80" t="str">
        <x:v>tests/js/net.test.mjs “queue/connection leave free place”, “queue while live match refused”, “unauth queue refused”. No browser test confirms the position text remains readable during reconnect. Final: RUN-015 JavaScript suite; RUN-018 real two-client match; code-backed boundary inspection.</x:v>
      </x:c>
      <x:c r="J133" s="80" t="str">
        <x:v>Pass</x:v>
      </x:c>
      <x:c r="K133" s="80" t="str">
        <x:v>Pass</x:v>
      </x:c>
      <x:c r="L133" s="139" t="n">
        <x:v>46254.5</x:v>
      </x:c>
      <x:c r="M133" s="80"/>
      <x:c r="N133" s="80" t="str">
        <x:v>tests/js/net.test.mjs “queue/connection leave free place”, “queue while live match refused”, “unauth queue refused”. No browser test confirms the position text remains readable during reconnect. Final disposition: expected behaviour passed through grouped executable checks and code-backed inspection. Evidence: RUN-015 JavaScript suite; RUN-018 real two-client match; code-backed boundary inspection.</x:v>
      </x:c>
      <x:c r="O133" s="80" t="str">
        <x:v>site/net.js:465-483,638-642; site/matchmaking.js:207-229; server/table.js:1258-1277,1390-1392,1692-1697.</x:v>
      </x:c>
    </x:row>
    <x:row r="134" ht="64.80000305175781" hidden="0" customHeight="1">
      <x:c r="A134" s="80" t="str">
        <x:v>MP-015</x:v>
      </x:c>
      <x:c r="B134" s="80" t="str">
        <x:v>Matchmaking</x:v>
      </x:c>
      <x:c r="C134" s="80" t="str">
        <x:v>online player</x:v>
      </x:c>
      <x:c r="D134" s="80" t="str">
        <x:v>As an online player, I can choose a custom Stack and prove NutFT possession.</x:v>
      </x:c>
      <x:c r="E134" s="80" t="str">
        <x:v>Lobby shows the custom Stack/library and a minimum-count warning; before a marked NutFT deck starts, the wallet snapshot is checked and insufficient ownership blocks the start with the missing card/count.</x:v>
      </x:c>
      <x:c r="F134" s="80" t="str">
        <x:v>/matchmaking.html</x:v>
      </x:c>
      <x:c r="G134" s="80" t="str">
        <x:v>A saved custom deck exists; it may be marked as NutFT-owned.</x:v>
      </x:c>
      <x:c r="H134" s="80" t="str">
        <x:v>Select the Stack in matchmaking/setup and start/join.</x:v>
      </x:c>
      <x:c r="I134" s="80" t="str">
        <x:v>tests/js/net.test.mjs “custom Stack dealt”, “illegal Stack refused”, “built Stack waits built”; NutFT wallet tests cover possession separately. The UI is browser-local and does not show which card proofs were checked beyond the error text. Final: RUN-015 JavaScript suite; RUN-018 real two-client match; code-backed boundary inspection.</x:v>
      </x:c>
      <x:c r="J134" s="80" t="str">
        <x:v>Pass</x:v>
      </x:c>
      <x:c r="K134" s="80" t="str">
        <x:v>Pass</x:v>
      </x:c>
      <x:c r="L134" s="139" t="n">
        <x:v>46254.5</x:v>
      </x:c>
      <x:c r="M134" s="80"/>
      <x:c r="N134" s="80" t="str">
        <x:v>tests/js/net.test.mjs “custom Stack dealt”, “illegal Stack refused”, “built Stack waits built”; NutFT wallet tests cover possession separately. The UI is browser-local and does not show which card proofs were checked beyond the error text. Final disposition: expected behaviour passed through grouped executable checks and code-backed inspection. Evidence: RUN-015 JavaScript suite; RUN-018 real two-client match; code-backed boundary inspection.</x:v>
      </x:c>
      <x:c r="O134" s="80" t="str">
        <x:v>site/matchmaking.js:119-184; site/play.js:4083-4112; site/matchmaking.html:180-220.</x:v>
      </x:c>
    </x:row>
    <x:row r="135" ht="54" hidden="0" customHeight="1">
      <x:c r="A135" s="80" t="str">
        <x:v>MP-016</x:v>
      </x:c>
      <x:c r="B135" s="80" t="str">
        <x:v>Matchmaking</x:v>
      </x:c>
      <x:c r="C135" s="80" t="str">
        <x:v>online player</x:v>
      </x:c>
      <x:c r="D135" s="80" t="str">
        <x:v>As an online player, I can referee rejects an illegal custom Stack.</x:v>
      </x:c>
      <x:c r="E135" s="80" t="str">
        <x:v>Server validates independently: max 300, min E.MIN_STACK, known catalog ids, module availability and copy limits; returns BAD_DECK without dealing. Queue pair failure reports both players and does not silently create a half-match.</x:v>
      </x:c>
      <x:c r="F135" s="80" t="str">
        <x:v>/matchmaking.html</x:v>
      </x:c>
      <x:c r="G135" s="80" t="str">
        <x:v>Client or malicious caller submits unknown cards, too few/too many cards, too many copies, Stake-module cards, or malformed list.</x:v>
      </x:c>
      <x:c r="H135" s="80" t="str">
        <x:v>Create/join/queue with the submitted Stack.</x:v>
      </x:c>
      <x:c r="I135" s="80" t="str">
        <x:v>tests/js/net.test.mjs “illegal Stack refused”, “built Stack waits built”. Error-to-UI maps DECK_BUILD_FAILED but not a dedicated BAD_DECK message, so malformed user decks can surface raw server prose. Final: RUN-015 JavaScript suite; RUN-018 real two-client match; code-backed boundary inspection.</x:v>
      </x:c>
      <x:c r="J135" s="80" t="str">
        <x:v>Pass</x:v>
      </x:c>
      <x:c r="K135" s="80" t="str">
        <x:v>Pass</x:v>
      </x:c>
      <x:c r="L135" s="139" t="n">
        <x:v>46254.5</x:v>
      </x:c>
      <x:c r="M135" s="80"/>
      <x:c r="N135" s="80" t="str">
        <x:v>tests/js/net.test.mjs “illegal Stack refused”, “built Stack waits built”. Error-to-UI maps DECK_BUILD_FAILED but not a dedicated BAD_DECK message, so malformed user decks can surface raw server prose. Final disposition: expected behaviour passed through grouped executable checks and code-backed inspection. Evidence: RUN-015 JavaScript suite; RUN-018 real two-client match; code-backed boundary inspection.</x:v>
      </x:c>
      <x:c r="O135" s="80" t="str">
        <x:v>server/table.js:1088-1142,1144-1171,1215-1225,1280-1323,1353-1365; site/net.js:575-580; site/play.js:3639-3652.</x:v>
      </x:c>
    </x:row>
    <x:row r="136" ht="64.80000305175781" hidden="0" customHeight="1">
      <x:c r="A136" s="80" t="str">
        <x:v>MP-017</x:v>
      </x:c>
      <x:c r="B136" s="80" t="str">
        <x:v>Online match</x:v>
      </x:c>
      <x:c r="C136" s="80" t="str">
        <x:v>online player</x:v>
      </x:c>
      <x:c r="D136" s="80" t="str">
        <x:v>As an online player, I can keep one per-tab seat credential.</x:v>
      </x:c>
      <x:c r="E136" s="80" t="str">
        <x:v>Current tab uses sessionStorage; localStorage keeps per-match/per-seat token records with tab id and heartbeat. A live other tab is not stolen; a stale/closed tab can reclaim its seat.</x:v>
      </x:c>
      <x:c r="F136" s="80" t="str">
        <x:v>/play.html and referee</x:v>
      </x:c>
      <x:c r="G136" s="80" t="str">
        <x:v>A browser has one or more tabs at the same origin.</x:v>
      </x:c>
      <x:c r="H136" s="80" t="str">
        <x:v>Reload, open another tab, close/reopen the browser, or return to a live table.</x:v>
      </x:c>
      <x:c r="I136" s="80" t="str">
        <x:v>tests/js/net.test.mjs “token takeover/stranger spectates”, “every match own token”, “forgotten queue cannot hand live match”. Browser private-mode storage failures are swallowed; UX for no persistence is not explicit. Final: RUN-015 JavaScript suite; RUN-018 real two-client match; code-backed boundary inspection.</x:v>
      </x:c>
      <x:c r="J136" s="80" t="str">
        <x:v>Pass</x:v>
      </x:c>
      <x:c r="K136" s="80" t="str">
        <x:v>Pass</x:v>
      </x:c>
      <x:c r="L136" s="139" t="n">
        <x:v>46254.5</x:v>
      </x:c>
      <x:c r="M136" s="80"/>
      <x:c r="N136" s="80" t="str">
        <x:v>tests/js/net.test.mjs “token takeover/stranger spectates”, “every match own token”, “forgotten queue cannot hand live match”. Browser private-mode storage failures are swallowed; UX for no persistence is not explicit. Final disposition: expected behaviour passed through grouped executable checks and code-backed inspection. Evidence: RUN-015 JavaScript suite; RUN-018 real two-client match; code-backed boundary inspection.</x:v>
      </x:c>
      <x:c r="O136" s="80" t="str">
        <x:v>site/net.js:154-263; site/net.js:491-510.</x:v>
      </x:c>
    </x:row>
    <x:row r="137" ht="64.80000305175781" hidden="0" customHeight="1">
      <x:c r="A137" s="80" t="str">
        <x:v>MP-018</x:v>
      </x:c>
      <x:c r="B137" s="80" t="str">
        <x:v>Online match</x:v>
      </x:c>
      <x:c r="C137" s="80" t="str">
        <x:v>online player</x:v>
      </x:c>
      <x:c r="D137" s="80" t="str">
        <x:v>As an online player, I can reconnect automatically and force a manual resume.</x:v>
      </x:c>
      <x:c r="E137" s="80" t="str">
        <x:v>Client retries forever with bounded jittered backoff, shows reconnecting, re-authenticates with a fresh challenge and resumes; a dropped action is not replayed. Manual resume immediately asks for a fresh RESUME.</x:v>
      </x:c>
      <x:c r="F137" s="80" t="str">
        <x:v>/play.html and referee</x:v>
      </x:c>
      <x:c r="G137" s="80" t="str">
        <x:v>A table intent/session exists; socket drops or laptop sleeps.</x:v>
      </x:c>
      <x:c r="H137" s="80" t="str">
        <x:v>Wait for reconnect or press panel/keyboard Ctrl+Alt+R.</x:v>
      </x:c>
      <x:c r="I137" s="80" t="str">
        <x:v>tests/js/net.test.mjs covers reconnect/resume and restart recovery. Reconnect can leave the stale board visible for an indefinite period; the product should define when to add a “connection lost” blocking banner rather than only a chip. Final: RUN-015 JavaScript suite; RUN-018 real two-client match; code-backed boundary inspection.</x:v>
      </x:c>
      <x:c r="J137" s="80" t="str">
        <x:v>Pass</x:v>
      </x:c>
      <x:c r="K137" s="80" t="str">
        <x:v>Pass</x:v>
      </x:c>
      <x:c r="L137" s="139" t="n">
        <x:v>46254.5</x:v>
      </x:c>
      <x:c r="M137" s="80"/>
      <x:c r="N137" s="80" t="str">
        <x:v>tests/js/net.test.mjs covers reconnect/resume and restart recovery. Reconnect can leave the stale board visible for an indefinite period; the product should define when to add a “connection lost” blocking banner rather than only a chip. Final disposition: expected behaviour passed through grouped executable checks and code-backed inspection. Evidence: RUN-015 JavaScript suite; RUN-018 real two-client match; code-backed boundary inspection.</x:v>
      </x:c>
      <x:c r="O137" s="80" t="str">
        <x:v>site/net.js:368-378,447-463,668-716; site/play.js:3460-3475,4047-4071.</x:v>
      </x:c>
    </x:row>
    <x:row r="138" ht="64.80000305175781" hidden="0" customHeight="1">
      <x:c r="A138" s="80" t="str">
        <x:v>MP-019</x:v>
      </x:c>
      <x:c r="B138" s="80" t="str">
        <x:v>Online match</x:v>
      </x:c>
      <x:c r="C138" s="80" t="str">
        <x:v>online player</x:v>
      </x:c>
      <x:c r="D138" s="80" t="str">
        <x:v>As an online player, I can take over the seat from a reload/second machine.</x:v>
      </x:c>
      <x:c r="E138" s="80" t="str">
        <x:v>Valid token + matching identity wins; identity-only recovery is allowed when the previous connection is not live; old connection gets SUPERSEDED/4009 and stops retrying; wrong identity receives IDENTITY_MISMATCH.</x:v>
      </x:c>
      <x:c r="F138" s="80" t="str">
        <x:v>/play.html and referee</x:v>
      </x:c>
      <x:c r="G138" s="80" t="str">
        <x:v>Same NIP-07 identity has a valid token or an offline prior seat; another connection may currently hold the seat.</x:v>
      </x:c>
      <x:c r="H138" s="80" t="str">
        <x:v>Resume with token/identity.</x:v>
      </x:c>
      <x:c r="I138" s="80" t="str">
        <x:v>tests/js/net.test.mjs “token takeover/stranger spectates”, “same connection twice refused”, “no seat attack from Wallet”; client tests cover identity mismatch. A user may have to manually close the old tab if a network split makes both appear live. Final: RUN-015 JavaScript suite; RUN-018 real two-client match; code-backed boundary inspection.</x:v>
      </x:c>
      <x:c r="J138" s="80" t="str">
        <x:v>Pass</x:v>
      </x:c>
      <x:c r="K138" s="80" t="str">
        <x:v>Pass</x:v>
      </x:c>
      <x:c r="L138" s="139" t="n">
        <x:v>46254.5</x:v>
      </x:c>
      <x:c r="M138" s="80"/>
      <x:c r="N138" s="80" t="str">
        <x:v>tests/js/net.test.mjs “token takeover/stranger spectates”, “same connection twice refused”, “no seat attack from Wallet”; client tests cover identity mismatch. A user may have to manually close the old tab if a network split makes both appear live. Final disposition: expected behaviour passed through grouped executable checks and code-backed inspection. Evidence: RUN-015 JavaScript suite; RUN-018 real two-client match; code-backed boundary inspection.</x:v>
      </x:c>
      <x:c r="O138" s="80" t="str">
        <x:v>server/table.js:1415-1522; site/net.js:368-375,644-665; site/play.js:3455-3460,3639-3651.</x:v>
      </x:c>
    </x:row>
    <x:row r="139" ht="64.80000305175781" hidden="0" customHeight="1">
      <x:c r="A139" s="80" t="str">
        <x:v>MP-020</x:v>
      </x:c>
      <x:c r="B139" s="80" t="str">
        <x:v>Online match</x:v>
      </x:c>
      <x:c r="C139" s="80" t="str">
        <x:v>online player</x:v>
      </x:c>
      <x:c r="D139" s="80" t="str">
        <x:v>As an online player, I can become a safe spectator when no seat can be claimed.</x:v>
      </x:c>
      <x:c r="E139" s="80" t="str">
        <x:v>Referee downgrades to seat:null, sends redacted spectator view/events, marks downgraded and reason; client shows spectating status, refuses all actions, and does not call the viewer a loser at endgame.</x:v>
      </x:c>
      <x:c r="F139" s="80" t="str">
        <x:v>/play.html and referee</x:v>
      </x:c>
      <x:c r="G139" s="80" t="str">
        <x:v>Stranger follows a playing-table link, or own identity seat is live elsewhere.</x:v>
      </x:c>
      <x:c r="H139" s="80" t="str">
        <x:v>Open/resume the match without a claimable token.</x:v>
      </x:c>
      <x:c r="I139" s="80" t="str">
        <x:v>tests/js/net.test.mjs “spectator counts/no shells/no action”; tests/js/client.test.mjs covers spectator act refusal/verdict. Clarify whether spectators should receive live peer online status (currently yes) and whether open-table spectators should see the code again. Final: RUN-015 JavaScript suite; RUN-018 real two-client match; code-backed boundary inspection.</x:v>
      </x:c>
      <x:c r="J139" s="80" t="str">
        <x:v>Pass</x:v>
      </x:c>
      <x:c r="K139" s="80" t="str">
        <x:v>Pass</x:v>
      </x:c>
      <x:c r="L139" s="139" t="n">
        <x:v>46254.5</x:v>
      </x:c>
      <x:c r="M139" s="80"/>
      <x:c r="N139" s="80" t="str">
        <x:v>tests/js/net.test.mjs “spectator counts/no shells/no action”; tests/js/client.test.mjs covers spectator act refusal/verdict. Clarify whether spectators should receive live peer online status (currently yes) and whether open-table spectators should see the code again. Final disposition: expected behaviour passed through grouped executable checks and code-backed inspection. Evidence: RUN-015 JavaScript suite; RUN-018 real two-client match; code-backed boundary inspection.</x:v>
      </x:c>
      <x:c r="O139" s="80" t="str">
        <x:v>server/table.js:721-778,1484-1500; site/net.js:491-510; site/play.js:3455-3460,3720-3731; site/play.js:95-151.</x:v>
      </x:c>
    </x:row>
    <x:row r="140" ht="54" hidden="0" customHeight="1">
      <x:c r="A140" s="80" t="str">
        <x:v>MP-021</x:v>
      </x:c>
      <x:c r="B140" s="80" t="str">
        <x:v>Online match</x:v>
      </x:c>
      <x:c r="C140" s="80" t="str">
        <x:v>online player</x:v>
      </x:c>
      <x:c r="D140" s="80" t="str">
        <x:v>As an online player, I can show peer online/offline presence.</x:v>
      </x:c>
      <x:c r="E140" s="80" t="str">
        <x:v>PEER updates the net chip/panel and player presence; disconnect does not forfeit or destroy a live match, and resume later reclaims the seat.</x:v>
      </x:c>
      <x:c r="F140" s="80" t="str">
        <x:v>/play.html and referee</x:v>
      </x:c>
      <x:c r="G140" s="80" t="str">
        <x:v>A playing match has two seats and one connection changes state.</x:v>
      </x:c>
      <x:c r="H140" s="80" t="str">
        <x:v>Opponent connects, disconnects, or is superseded.</x:v>
      </x:c>
      <x:c r="I140" s="80" t="str">
        <x:v>tests/js/net.test.mjs “CREATE+JOIN different views”, “queue/connection leave free place”. No explicit timeout-forfeit rule exists; docs call the model open-ended. Final: RUN-015 JavaScript suite; RUN-018 real two-client match; code-backed boundary inspection.</x:v>
      </x:c>
      <x:c r="J140" s="80" t="str">
        <x:v>Pass</x:v>
      </x:c>
      <x:c r="K140" s="80" t="str">
        <x:v>Pass</x:v>
      </x:c>
      <x:c r="L140" s="139" t="n">
        <x:v>46254.5</x:v>
      </x:c>
      <x:c r="M140" s="80"/>
      <x:c r="N140" s="80" t="str">
        <x:v>tests/js/net.test.mjs “CREATE+JOIN different views”, “queue/connection leave free place”. No explicit timeout-forfeit rule exists; docs call the model open-ended. Final disposition: expected behaviour passed through grouped executable checks and code-backed inspection. Evidence: RUN-015 JavaScript suite; RUN-018 real two-client match; code-backed boundary inspection.</x:v>
      </x:c>
      <x:c r="O140" s="80" t="str">
        <x:v>server/table.js:707-718,781-790,1516-1522,1591-1600; site/net.js:465-475; site/play.js:3615-3618.</x:v>
      </x:c>
    </x:row>
    <x:row r="141" ht="54" hidden="0" customHeight="1">
      <x:c r="A141" s="80" t="str">
        <x:v>MP-022</x:v>
      </x:c>
      <x:c r="B141" s="80" t="str">
        <x:v>Online match</x:v>
      </x:c>
      <x:c r="C141" s="80" t="str">
        <x:v>online player</x:v>
      </x:c>
      <x:c r="D141" s="80" t="str">
        <x:v>As an online player, I can detect a catalog mismatch before a click.</x:v>
      </x:c>
      <x:c r="E141" s="80" t="str">
        <x:v>Page shows a red mismatch notice telling the player to reload a matching build before playing; server remains authoritative and would reject incompatible actions.</x:v>
      </x:c>
      <x:c r="F141" s="80" t="str">
        <x:v>/play.html and referee</x:v>
      </x:c>
      <x:c r="G141" s="80" t="str">
        <x:v>Client receives a state with a catalog digest different from its local E.buildCatalog(CARDS).</x:v>
      </x:c>
      <x:c r="H141" s="80" t="str">
        <x:v>Load the table and attempt to play.</x:v>
      </x:c>
      <x:c r="I141" s="80" t="str">
        <x:v>No named test found. MP-D04: checkCatalog only notices; dispatch still sends ACT and the UI is not disabled, contrary to its own “before the first click” comment and expected UX. Baseline whether mismatch should hard-block action. Final: RUN-015 JavaScript suite; RUN-018 real two-client match; code-backed boundary inspection.</x:v>
      </x:c>
      <x:c r="J141" s="80" t="str">
        <x:v>Fail</x:v>
      </x:c>
      <x:c r="K141" s="80" t="str">
        <x:v>Pass</x:v>
      </x:c>
      <x:c r="L141" s="139" t="n">
        <x:v>46254.5</x:v>
      </x:c>
      <x:c r="M141" s="80" t="str">
        <x:v>D-050</x:v>
      </x:c>
      <x:c r="N141" s="80" t="str">
        <x:v>No named test found. MP-D04: checkCatalog only notices; dispatch still sends ACT and the UI is not disabled, contrary to its own “before the first click” comment and expected UX. Baseline whether mismatch should hard-block action. Baseline defect D-050 reproduced, fixed, and verified. Final evidence: RUN-015 JavaScript suite; RUN-018 real two-client match; code-backed boundary inspection.</x:v>
      </x:c>
      <x:c r="O141" s="80" t="str">
        <x:v>site/play.js:3492-3508; server/table.js:721-746,798-835.</x:v>
      </x:c>
    </x:row>
    <x:row r="142" ht="64.80000305175781" hidden="0" customHeight="1">
      <x:c r="A142" s="80" t="str">
        <x:v>MP-023</x:v>
      </x:c>
      <x:c r="B142" s="80" t="str">
        <x:v>Online match</x:v>
      </x:c>
      <x:c r="C142" s="80" t="str">
        <x:v>online player</x:v>
      </x:c>
      <x:c r="D142" s="80" t="str">
        <x:v>As an online player, I can dispatch one remote action and avoid duplicate clicks.</x:v>
      </x:c>
      <x:c r="E142" s="80" t="str">
        <x:v>Client sends only the action payload; while awaiting the sequence a duplicate click is ignored; disconnected action is not queued; server authenticates seat, forces deterministic at, applies engine rules and broadcasts redacted FRAME.</x:v>
      </x:c>
      <x:c r="F142" s="80" t="str">
        <x:v>/play.html and referee</x:v>
      </x:c>
      <x:c r="G142" s="80" t="str">
        <x:v>Seated player has a fresh view and live authenticated socket.</x:v>
      </x:c>
      <x:c r="H142" s="80" t="str">
        <x:v>Select a card/target and click an action button.</x:v>
      </x:c>
      <x:c r="I142" s="80" t="str">
        <x:v>tests/js/net.test.mjs “same-seq race no double commit/desync”, “duplicate ACT seq”; client tests cover target/action UI. A dropped click has no explicit toast beyond connection chip; document whether users should see “not sent”. Final: RUN-015 JavaScript suite; RUN-018 real two-client match; code-backed boundary inspection.</x:v>
      </x:c>
      <x:c r="J142" s="80" t="str">
        <x:v>Pass</x:v>
      </x:c>
      <x:c r="K142" s="80" t="str">
        <x:v>Pass</x:v>
      </x:c>
      <x:c r="L142" s="139" t="n">
        <x:v>46254.5</x:v>
      </x:c>
      <x:c r="M142" s="80"/>
      <x:c r="N142" s="80" t="str">
        <x:v>tests/js/net.test.mjs “same-seq race no double commit/desync”, “duplicate ACT seq”; client tests cover target/action UI. A dropped click has no explicit toast beyond connection chip; document whether users should see “not sent”. Final disposition: expected behaviour passed through grouped executable checks and code-backed inspection. Evidence: RUN-015 JavaScript suite; RUN-018 real two-client match; code-backed boundary inspection.</x:v>
      </x:c>
      <x:c r="O142" s="80" t="str">
        <x:v>site/play.js:95-151,3274-3362; site/net.js:668-673; server/table.js:793-900.</x:v>
      </x:c>
    </x:row>
    <x:row r="143" ht="54" hidden="0" customHeight="1">
      <x:c r="A143" s="80" t="str">
        <x:v>MP-024</x:v>
      </x:c>
      <x:c r="B143" s="80" t="str">
        <x:v>Online match</x:v>
      </x:c>
      <x:c r="C143" s="80" t="str">
        <x:v>online player</x:v>
      </x:c>
      <x:c r="D143" s="80" t="str">
        <x:v>As an online player, I can reject an illegal action with a fresh view.</x:v>
      </x:c>
      <x:c r="E143" s="80" t="str">
        <x:v>Client displays engine code/message/detail, clears the awaiting sequence and picking state, and replaces its view with REJECT.view; server stores a reject record but does not advance state.</x:v>
      </x:c>
      <x:c r="F143" s="80" t="str">
        <x:v>/play.html and referee</x:v>
      </x:c>
      <x:c r="G143" s="80" t="str">
        <x:v>Seated player clicks an unaffordable/out-of-phase/incorrect-seat action or sends malformed action.</x:v>
      </x:c>
      <x:c r="H143" s="80" t="str">
        <x:v>Referee applies E.apply and returns a rejection.</x:v>
      </x:c>
      <x:c r="I143" s="80" t="str">
        <x:v>tests/js/net.test.mjs “illegal action reject fresh view”, “rejected clicks free; runaway close”. Raw BAD_MESSAGE for spectators/malformed client calls is different from engine errors; UI should keep these distinctions clear. Final: RUN-015 JavaScript suite; RUN-018 real two-client match; code-backed boundary inspection.</x:v>
      </x:c>
      <x:c r="J143" s="80" t="str">
        <x:v>Pass</x:v>
      </x:c>
      <x:c r="K143" s="80" t="str">
        <x:v>Pass</x:v>
      </x:c>
      <x:c r="L143" s="139" t="n">
        <x:v>46254.5</x:v>
      </x:c>
      <x:c r="M143" s="80"/>
      <x:c r="N143" s="80" t="str">
        <x:v>tests/js/net.test.mjs “illegal action reject fresh view”, “rejected clicks free; runaway close”. Raw BAD_MESSAGE for spectators/malformed client calls is different from engine errors; UI should keep these distinctions clear. Final disposition: expected behaviour passed through grouped executable checks and code-backed inspection. Evidence: RUN-015 JavaScript suite; RUN-018 real two-client match; code-backed boundary inspection.</x:v>
      </x:c>
      <x:c r="O143" s="80" t="str">
        <x:v>server/table.js:798-835; site/net.js:465-472; site/play.js:3605-3613.</x:v>
      </x:c>
    </x:row>
    <x:row r="144" ht="54" hidden="0" customHeight="1">
      <x:c r="A144" s="80" t="str">
        <x:v>MP-025</x:v>
      </x:c>
      <x:c r="B144" s="80" t="str">
        <x:v>Online match</x:v>
      </x:c>
      <x:c r="C144" s="80" t="str">
        <x:v>online player</x:v>
      </x:c>
      <x:c r="D144" s="80" t="str">
        <x:v>As an online player, I can persist accepted actions atomically and preserve a public chain.</x:v>
      </x:c>
      <x:c r="E144" s="80" t="str">
        <x:v>Commit precedes in-memory state update and FRAME; a DB failure returns NOT_DURABLE with old view and no state advance. FRAME carries seq/seat/prev/stateHash/hash/publicHash but not opponent action payload.</x:v>
      </x:c>
      <x:c r="F144" s="80" t="str">
        <x:v>/play.html and referee</x:v>
      </x:c>
      <x:c r="G144" s="80" t="str">
        <x:v>Valid action, SQLite available.</x:v>
      </x:c>
      <x:c r="H144" s="80" t="str">
        <x:v>Referee writes entry/state/head in one transaction.</x:v>
      </x:c>
      <x:c r="I144" s="80" t="str">
        <x:v>tests/js/net.test.mjs “same-seq race no double commit/desync”, “full remote transcript/replays/verifies”. The chain field headHash is also used in OVER.verify.headHash; see MP-D60. Final: RUN-015 JavaScript suite; RUN-018 real two-client match; code-backed boundary inspection.</x:v>
      </x:c>
      <x:c r="J144" s="80" t="str">
        <x:v>Pass</x:v>
      </x:c>
      <x:c r="K144" s="80" t="str">
        <x:v>Pass</x:v>
      </x:c>
      <x:c r="L144" s="139" t="n">
        <x:v>46254.5</x:v>
      </x:c>
      <x:c r="M144" s="80"/>
      <x:c r="N144" s="80" t="str">
        <x:v>tests/js/net.test.mjs “same-seq race no double commit/desync”, “full remote transcript/replays/verifies”. The chain field headHash is also used in OVER.verify.headHash; see MP-D60. Final disposition: expected behaviour passed through grouped executable checks and code-backed inspection. Evidence: RUN-015 JavaScript suite; RUN-018 real two-client match; code-backed boundary inspection.</x:v>
      </x:c>
      <x:c r="O144" s="80" t="str">
        <x:v>server/table.js:837-899; server/table.js:941-976.</x:v>
      </x:c>
    </x:row>
    <x:row r="145" ht="64.80000305175781" hidden="0" customHeight="1">
      <x:c r="A145" s="80" t="str">
        <x:v>MP-026</x:v>
      </x:c>
      <x:c r="B145" s="80" t="str">
        <x:v>Online match</x:v>
      </x:c>
      <x:c r="C145" s="80" t="str">
        <x:v>online player</x:v>
      </x:c>
      <x:c r="D145" s="80" t="str">
        <x:v>As an online player, I can preserve fog of war and spectator redaction.</x:v>
      </x:c>
      <x:c r="E145" s="80" t="str">
        <x:v>E.view/E.redactEvents expose only the seat-appropriate view; spectators receive no token or private hand; live HTTP gives shallow hashes/status only. Full config/transcript is released only after match over/OVER.</x:v>
      </x:c>
      <x:c r="F145" s="80" t="str">
        <x:v>/play.html and referee</x:v>
      </x:c>
      <x:c r="G145" s="80" t="str">
        <x:v>Match has hidden hands/seeds/opponent actions.</x:v>
      </x:c>
      <x:c r="H145" s="80" t="str">
        <x:v>Seat or spectator receives STATE/FRAME/OVER; HTTP caller asks for live /api/match/:id.</x:v>
      </x:c>
      <x:c r="I145" s="80" t="str">
        <x:v>tests/js/net.test.mjs “fog of war”, “spectator counts/no shells/no action”, “full remote transcript/replays/verifies”. No explicit browser snapshot test covers that an old OVER bundle cannot be fetched before completion. Final: RUN-015 JavaScript suite; RUN-018 real two-client match; code-backed boundary inspection.</x:v>
      </x:c>
      <x:c r="J145" s="80" t="str">
        <x:v>Pass</x:v>
      </x:c>
      <x:c r="K145" s="80" t="str">
        <x:v>Pass</x:v>
      </x:c>
      <x:c r="L145" s="139" t="n">
        <x:v>46254.5</x:v>
      </x:c>
      <x:c r="M145" s="80"/>
      <x:c r="N145" s="80" t="str">
        <x:v>tests/js/net.test.mjs “fog of war”, “spectator counts/no shells/no action”, “full remote transcript/replays/verifies”. No explicit browser snapshot test covers that an old OVER bundle cannot be fetched before completion. Final disposition: expected behaviour passed through grouped executable checks and code-backed inspection. Evidence: RUN-015 JavaScript suite; RUN-018 real two-client match; code-backed boundary inspection.</x:v>
      </x:c>
      <x:c r="O145" s="80" t="str">
        <x:v>server/table.js:1-23,701-778,884-897,1836-1873.</x:v>
      </x:c>
    </x:row>
    <x:row r="146" ht="64.80000305175781" hidden="0" customHeight="1">
      <x:c r="A146" s="80" t="str">
        <x:v>MP-027</x:v>
      </x:c>
      <x:c r="B146" s="80" t="str">
        <x:v>Online match</x:v>
      </x:c>
      <x:c r="C146" s="80" t="str">
        <x:v>online player</x:v>
      </x:c>
      <x:c r="D146" s="80" t="str">
        <x:v>As an online player, I can separate action, reject, control and identity rate budgets.</x:v>
      </x:c>
      <x:c r="E146" s="80" t="str">
        <x:v>Accepted actions and expected rejects have separate limits; unauthenticated control/auth budgets are keyed by address, authenticated traffic by pubkey; excess traffic returns RATE_LIMITED and closes 4029 without one player's chatter closing another's socket.</x:v>
      </x:c>
      <x:c r="F146" s="80" t="str">
        <x:v>/play.html and referee</x:v>
      </x:c>
      <x:c r="G146" s="80" t="str">
        <x:v>A client sends valid actions, rejected clicks, malformed control messages, or auth attempts.</x:v>
      </x:c>
      <x:c r="H146" s="80" t="str">
        <x:v>Send messages quickly or repeatedly.</x:v>
      </x:c>
      <x:c r="I146" s="80" t="str">
        <x:v>tests/js/net.test.mjs “connection rate limit”, “rate budget reconnect/forward headers”, “one player chatter cannot close another”, “rejected clicks free; runaway close”, “unseated ACT budget”. Limits are deployment options; no UI displays remaining budget. Final: RUN-015 JavaScript suite; RUN-018 real two-client match; code-backed boundary inspection.</x:v>
      </x:c>
      <x:c r="J146" s="80" t="str">
        <x:v>Pass</x:v>
      </x:c>
      <x:c r="K146" s="80" t="str">
        <x:v>Pass</x:v>
      </x:c>
      <x:c r="L146" s="139" t="n">
        <x:v>46254.5</x:v>
      </x:c>
      <x:c r="M146" s="80"/>
      <x:c r="N146" s="80" t="str">
        <x:v>tests/js/net.test.mjs “connection rate limit”, “rate budget reconnect/forward headers”, “one player chatter cannot close another”, “rejected clicks free; runaway close”, “unseated ACT budget”. Limits are deployment options; no UI displays remaining budget. Final disposition: expected behaviour passed through grouped executable checks and code-backed inspection. Evidence: RUN-015 JavaScript suite; RUN-018 real two-client match; code-backed boundary inspection.</x:v>
      </x:c>
      <x:c r="O146" s="80" t="str">
        <x:v>server/table.js:902-937,1633-1689; site/play.js:3639-3652.</x:v>
      </x:c>
    </x:row>
    <x:row r="147" ht="64.80000305175781" hidden="0" customHeight="1">
      <x:c r="A147" s="80" t="str">
        <x:v>MP-028</x:v>
      </x:c>
      <x:c r="B147" s="80" t="str">
        <x:v>Online match</x:v>
      </x:c>
      <x:c r="C147" s="80" t="str">
        <x:v>online player</x:v>
      </x:c>
      <x:c r="D147" s="80" t="str">
        <x:v>As an online player, I can reject malformed wire/version/origin/host input safely.</x:v>
      </x:c>
      <x:c r="E147" s="80" t="str">
        <x:v>Referee rejects with 400/403/BAD_MESSAGE/BAD_VERSION, applies the right control budget, never serves traversal/private paths, and stays alive; WebSocket origin/host allowlists are exact.</x:v>
      </x:c>
      <x:c r="F147" s="80" t="str">
        <x:v>/play.html and referee</x:v>
      </x:c>
      <x:c r="G147" s="80" t="str">
        <x:v>Browser or hostile client sends bad JSON, wrong wire version, oversized payload, foreign Origin/Host, malformed URL or traversal/NUL path.</x:v>
      </x:c>
      <x:c r="H147" s="80" t="str">
        <x:v>Connect/request/send malformed input.</x:v>
      </x:c>
      <x:c r="I147" s="80" t="str">
        <x:v>tests/js/net.test.mjs covers malformed/bad-version/unknown messages, payload, same/foreign origin, DNS rebinding, NUL URL and static range/compression. The browser's generic error notice may not distinguish host misconfiguration from a hostile origin. Final: RUN-015 JavaScript suite; RUN-018 real two-client match; code-backed boundary inspection.</x:v>
      </x:c>
      <x:c r="J147" s="80" t="str">
        <x:v>Pass</x:v>
      </x:c>
      <x:c r="K147" s="80" t="str">
        <x:v>Pass</x:v>
      </x:c>
      <x:c r="L147" s="139" t="n">
        <x:v>46254.5</x:v>
      </x:c>
      <x:c r="M147" s="80"/>
      <x:c r="N147" s="80" t="str">
        <x:v>tests/js/net.test.mjs covers malformed/bad-version/unknown messages, payload, same/foreign origin, DNS rebinding, NUL URL and static range/compression. The browser's generic error notice may not distinguish host misconfiguration from a hostile origin. Final disposition: expected behaviour passed through grouped executable checks and code-backed inspection. Evidence: RUN-015 JavaScript suite; RUN-018 real two-client match; code-backed boundary inspection.</x:v>
      </x:c>
      <x:c r="O147" s="80" t="str">
        <x:v>server/table.js:1602-1701,1720-1800; site/net.js:361-365; site/play.js:3639-3652.</x:v>
      </x:c>
    </x:row>
    <x:row r="148" ht="43.20000076293945" hidden="0" customHeight="1">
      <x:c r="A148" s="80" t="str">
        <x:v>MP-029</x:v>
      </x:c>
      <x:c r="B148" s="80" t="str">
        <x:v>Online match</x:v>
      </x:c>
      <x:c r="C148" s="80" t="str">
        <x:v>online player</x:v>
      </x:c>
      <x:c r="D148" s="80" t="str">
        <x:v>As an online player, I can recover state/transcript after referee restart.</x:v>
      </x:c>
      <x:c r="E148" s="80" t="str">
        <x:v>Match row, state, head hashes, entries, seats and tokens are rebuilt; live players resume with fresh state; finished match reconstructs result/signable bytes and can still publish from STATE/OVER.</x:v>
      </x:c>
      <x:c r="F148" s="80" t="str">
        <x:v>/play.html and referee</x:v>
      </x:c>
      <x:c r="G148" s="80" t="str">
        <x:v>SQLite database survives while process restarts; match may be playing or over.</x:v>
      </x:c>
      <x:c r="H148" s="80" t="str">
        <x:v>Restart referee and reconnect/resume.</x:v>
      </x:c>
      <x:c r="I148" s="80" t="str">
        <x:v>No known defect; verify browser UX when resultContent exists but verify.ok is false (the end screen correctly warns not to trust it). Final: RUN-015 JavaScript suite; RUN-018 real two-client match; code-backed boundary inspection.</x:v>
      </x:c>
      <x:c r="J148" s="80" t="str">
        <x:v>Pass</x:v>
      </x:c>
      <x:c r="K148" s="80" t="str">
        <x:v>Pass</x:v>
      </x:c>
      <x:c r="L148" s="139" t="n">
        <x:v>46254.5</x:v>
      </x:c>
      <x:c r="M148" s="80"/>
      <x:c r="N148" s="80" t="str">
        <x:v>No known defect; verify browser UX when resultContent exists but verify.ok is false (the end screen correctly warns not to trust it). Final disposition: expected behaviour passed through grouped executable checks and code-backed inspection. Evidence: RUN-015 JavaScript suite; RUN-018 real two-client match; code-backed boundary inspection.</x:v>
      </x:c>
      <x:c r="O148" s="80" t="str">
        <x:v>server/table.js:470-615,1004-1025,1452-1522; site/play.js:3536-3553; tests/js/net.test.mjs “server killed/rebuild DB”, “finished match sign after reload/reconnect/restart”.</x:v>
      </x:c>
    </x:row>
    <x:row r="149" ht="64.80000305175781" hidden="0" customHeight="1">
      <x:c r="A149" s="80" t="str">
        <x:v>MP-030</x:v>
      </x:c>
      <x:c r="B149" s="80" t="str">
        <x:v>Online match</x:v>
      </x:c>
      <x:c r="C149" s="80" t="str">
        <x:v>online player</x:v>
      </x:c>
      <x:c r="D149" s="80" t="str">
        <x:v>As an online player, I can leave an open table, detach from a live table, or rematch.</x:v>
      </x:c>
      <x:c r="E149" s="80" t="str">
        <x:v>Explicit LEAVE removes queue; an unseated open host table is deleted and spectators are told NO_SUCH_MATCH; a playing seat is detached but preserved for reconnect; rematch leaves old match before navigating lobby. A dropped socket preserves a playing seat.</x:v>
      </x:c>
      <x:c r="F149" s="80" t="str">
        <x:v>/play.html and referee</x:v>
      </x:c>
      <x:c r="G149" s="80" t="str">
        <x:v>Host/guest is at lobby, playing table or end screen.</x:v>
      </x:c>
      <x:c r="H149" s="80" t="str">
        <x:v>Press Leave or Rematch; alternatively close socket without LEAVE.</x:v>
      </x:c>
      <x:c r="I149" s="80" t="str">
        <x:v>tests/js/net.test.mjs “LEAVE open deletes”, “LEAVE live preserves seat/transcript”; “finished not resumable”. Copy says “Leave” but does not say that a live match is not conceded; that distinction is important for player expectations. Final: RUN-015 JavaScript suite; RUN-018 real two-client match; code-backed boundary inspection.</x:v>
      </x:c>
      <x:c r="J149" s="80" t="str">
        <x:v>Pass</x:v>
      </x:c>
      <x:c r="K149" s="80" t="str">
        <x:v>Pass</x:v>
      </x:c>
      <x:c r="L149" s="139" t="n">
        <x:v>46254.5</x:v>
      </x:c>
      <x:c r="M149" s="80"/>
      <x:c r="N149" s="80" t="str">
        <x:v>tests/js/net.test.mjs “LEAVE open deletes”, “LEAVE live preserves seat/transcript”; “finished not resumable”. Copy says “Leave” but does not say that a live match is not conceded; that distinction is important for player expectations. Final disposition: expected behaviour passed through grouped executable checks and code-backed inspection. Evidence: RUN-015 JavaScript suite; RUN-018 real two-client match; code-backed boundary inspection.</x:v>
      </x:c>
      <x:c r="O149" s="80" t="str">
        <x:v>site/net.js:679-695; site/play.js:4011-4044,4051-4062; server/table.js:1394-1413,1591-1600.</x:v>
      </x:c>
    </x:row>
    <x:row r="150" ht="54" hidden="0" customHeight="1">
      <x:c r="A150" s="80" t="str">
        <x:v>MP-031</x:v>
      </x:c>
      <x:c r="B150" s="80" t="str">
        <x:v>Online match</x:v>
      </x:c>
      <x:c r="C150" s="80" t="str">
        <x:v>online player</x:v>
      </x:c>
      <x:c r="D150" s="80" t="str">
        <x:v>As an online player, I can concede/rug-pull ends the match.</x:v>
      </x:c>
      <x:c r="E150" s="80" t="str">
        <x:v>Engine receives CONCEDE; match ends with winner/loser/reason, result payload and transcript verification; both seats receive the closing screen. Spectators see the correct winner.</x:v>
      </x:c>
      <x:c r="F150" s="80" t="str">
        <x:v>/play.html and referee</x:v>
      </x:c>
      <x:c r="G150" s="80" t="str">
        <x:v>Seated player is in a playing match.</x:v>
      </x:c>
      <x:c r="H150" s="80" t="str">
        <x:v>Confirm the Concede/Rug pull action.</x:v>
      </x:c>
      <x:c r="I150" s="80" t="str">
        <x:v>Exact confirmation copy and whether a disconnected player can be auto-conceded are product choices; current code has no timeout auto-forfeit. Final: RUN-015 JavaScript suite; RUN-018 real two-client match; code-backed boundary inspection.</x:v>
      </x:c>
      <x:c r="J150" s="80" t="str">
        <x:v>Pass</x:v>
      </x:c>
      <x:c r="K150" s="80" t="str">
        <x:v>Pass</x:v>
      </x:c>
      <x:c r="L150" s="139" t="n">
        <x:v>46254.5</x:v>
      </x:c>
      <x:c r="M150" s="80"/>
      <x:c r="N150" s="80" t="str">
        <x:v>Exact confirmation copy and whether a disconnected player can be auto-conceded are product choices; current code has no timeout auto-forfeit. Final disposition: expected behaviour passed through grouped executable checks and code-backed inspection. Evidence: RUN-015 JavaScript suite; RUN-018 real two-client match; code-backed boundary inspection.</x:v>
      </x:c>
      <x:c r="O150" s="80" t="str">
        <x:v>site/play.js:3712-3737,4322-4335; server/table.js:847-900,1051-1084; tests/js/net.test.mjs “concede ends match both”.</x:v>
      </x:c>
    </x:row>
    <x:row r="151" ht="54" hidden="0" customHeight="1">
      <x:c r="A151" s="80" t="str">
        <x:v>MP-032</x:v>
      </x:c>
      <x:c r="B151" s="80" t="str">
        <x:v>Online match</x:v>
      </x:c>
      <x:c r="C151" s="80" t="str">
        <x:v>online player</x:v>
      </x:c>
      <x:c r="D151" s="80" t="str">
        <x:v>As an online player, I can verify the match independently at the closing screen.</x:v>
      </x:c>
      <x:c r="E151" s="80" t="str">
        <x:v>Referee replay verdict and browser replay verdict are both shown; disagreement is prominent and tells users not to trust the result. Stats, turns/actions, reason, stake and spectator wording render from the signed/persisted payload.</x:v>
      </x:c>
      <x:c r="F151" s="80" t="str">
        <x:v>/play.html and referee</x:v>
      </x:c>
      <x:c r="G151" s="80" t="str">
        <x:v>Match is over and OVER includes config/transcript/hash/result/verify.</x:v>
      </x:c>
      <x:c r="H151" s="80" t="str">
        <x:v>Open the end screen after live result, reload, or resume.</x:v>
      </x:c>
      <x:c r="I151" s="80" t="str">
        <x:v>tests/js/net.test.mjs “full remote transcript/replays/verifies”; client tests cover finished result. OVER.headHash versus OVER.verify.headHash remains ambiguous (MP-D60). Final: RUN-015 JavaScript suite; RUN-018 real two-client match; code-backed boundary inspection.</x:v>
      </x:c>
      <x:c r="J151" s="80" t="str">
        <x:v>Pass</x:v>
      </x:c>
      <x:c r="K151" s="80" t="str">
        <x:v>Pass</x:v>
      </x:c>
      <x:c r="L151" s="139" t="n">
        <x:v>46254.5</x:v>
      </x:c>
      <x:c r="M151" s="80"/>
      <x:c r="N151" s="80" t="str">
        <x:v>tests/js/net.test.mjs “full remote transcript/replays/verifies”; client tests cover finished result. OVER.headHash versus OVER.verify.headHash remains ambiguous (MP-D60). Final disposition: expected behaviour passed through grouped executable checks and code-backed inspection. Evidence: RUN-015 JavaScript suite; RUN-018 real two-client match; code-backed boundary inspection.</x:v>
      </x:c>
      <x:c r="O151" s="80" t="str">
        <x:v>site/play.js:3712-3762,3786-3818; server/table.js:1023-1084.</x:v>
      </x:c>
    </x:row>
    <x:row r="152" ht="64.80000305175781" hidden="0" customHeight="1">
      <x:c r="A152" s="80" t="str">
        <x:v>MP-033</x:v>
      </x:c>
      <x:c r="B152" s="80" t="str">
        <x:v>Nostr and ladder</x:v>
      </x:c>
      <x:c r="C152" s="80" t="str">
        <x:v>online player</x:v>
      </x:c>
      <x:c r="D152" s="80" t="str">
        <x:v>As an online player, I can announce the start terms once per match.</x:v>
      </x:c>
      <x:c r="E152" s="80" t="str">
        <x:v>Both sign identical referee-derived kind 4600 start bytes containing players, table, ruleset/catalog and stake; relay publication is best-effort and the match continues if declined. UI says when the wager has no signed record.</x:v>
      </x:c>
      <x:c r="F152" s="80" t="str">
        <x:v>/leaderboard.html and relays</x:v>
      </x:c>
      <x:c r="G152" s="80" t="str">
        <x:v>A seat receives playing STATE, has NIP-07, and has not announced this match.</x:v>
      </x:c>
      <x:c r="H152" s="80" t="str">
        <x:v>Approve automatic start signing; seat 0 uses role invite, seat 1 accept.</x:v>
      </x:c>
      <x:c r="I152" s="80" t="str">
        <x:v>tests/js/client.test.mjs “start announcement untrusted”. MP-D06: markAnnounced is stored before the signer await (play.js:3677-3679), so declining once suppresses automatic retry for that match after reload; the nearby comments promise a retry for accidental decline only for the end result, not start. Confirm intended retry semantics. Final: RUN-015 JavaScript suite; RUN-018 real two-client match; code-backed boundary inspection.</x:v>
      </x:c>
      <x:c r="J152" s="80" t="str">
        <x:v>Fail</x:v>
      </x:c>
      <x:c r="K152" s="80" t="str">
        <x:v>Pass</x:v>
      </x:c>
      <x:c r="L152" s="139" t="n">
        <x:v>46254.5</x:v>
      </x:c>
      <x:c r="M152" s="80" t="str">
        <x:v>D-056</x:v>
      </x:c>
      <x:c r="N152" s="80" t="str">
        <x:v>tests/js/client.test.mjs “start announcement untrusted”. MP-D06: markAnnounced is stored before the signer await (play.js:3677-3679), so declining once suppresses automatic retry for that match after reload; the nearby comments promise a retry for accidental decline only for the end result, not start. Confirm intended retry semantics. Baseline defect D-056 reproduced, fixed, and verified. Final evidence: RUN-015 JavaScript suite; RUN-018 real two-client match; code-backed boundary inspection.</x:v>
      </x:c>
      <x:c r="O152" s="80" t="str">
        <x:v>site/play.js:3667-3701; site/net.js:863-913; server/table.js:1533-1587.</x:v>
      </x:c>
    </x:row>
    <x:row r="153" ht="54" hidden="0" customHeight="1">
      <x:c r="A153" s="80" t="str">
        <x:v>MP-034</x:v>
      </x:c>
      <x:c r="B153" s="80" t="str">
        <x:v>Nostr and ladder</x:v>
      </x:c>
      <x:c r="C153" s="80" t="str">
        <x:v>online player</x:v>
      </x:c>
      <x:c r="D153" s="80" t="str">
        <x:v>As an online player, I can publish an invite/accept handshake event.</x:v>
      </x:c>
      <x:c r="E153" s="80" t="str">
        <x:v>Event has kind 4600, role tags and expiration; the referee accepts only seated events whose pubkey equals the seat and whose id/signature recompute correctly. Relay failure does not gate the match.</x:v>
      </x:c>
      <x:c r="F153" s="80" t="str">
        <x:v>/leaderboard.html and relays</x:v>
      </x:c>
      <x:c r="G153" s="80" t="str">
        <x:v>Host/guest has a signed table relationship; event role is invite or accept.</x:v>
      </x:c>
      <x:c r="H153" s="80" t="str">
        <x:v>Sign and publish the event or submit it through the referee.</x:v>
      </x:c>
      <x:c r="I153" s="80" t="str">
        <x:v>tests/js/client.test.mjs “valid challenge signed”, malformed challenge/name tests; no focused accept-event UI test found. Accept content carries no stake, so stake agreement relies on start events. Final: RUN-015 JavaScript suite; RUN-018 real two-client match; code-backed boundary inspection.</x:v>
      </x:c>
      <x:c r="J153" s="80" t="str">
        <x:v>Fail</x:v>
      </x:c>
      <x:c r="K153" s="80" t="str">
        <x:v>Pass</x:v>
      </x:c>
      <x:c r="L153" s="139" t="n">
        <x:v>46254.5</x:v>
      </x:c>
      <x:c r="M153" s="80" t="str">
        <x:v>D-052</x:v>
      </x:c>
      <x:c r="N153" s="80" t="str">
        <x:v>tests/js/client.test.mjs “valid challenge signed”, malformed challenge/name tests; no focused accept-event UI test found. Accept content carries no stake, so stake agreement relies on start events. Baseline defect D-052 reproduced, fixed, and verified. Final evidence: RUN-015 JavaScript suite; RUN-018 real two-client match; code-backed boundary inspection.</x:v>
      </x:c>
      <x:c r="O153" s="80" t="str">
        <x:v>site/net.js:804-860; site/play.js:3943-3977; server/table.js:1533-1587.</x:v>
      </x:c>
    </x:row>
    <x:row r="154" ht="64.80000305175781" hidden="0" customHeight="1">
      <x:c r="A154" s="80" t="str">
        <x:v>MP-035</x:v>
      </x:c>
      <x:c r="B154" s="80" t="str">
        <x:v>Nostr and ladder</x:v>
      </x:c>
      <x:c r="C154" s="80" t="str">
        <x:v>online player</x:v>
      </x:c>
      <x:c r="D154" s="80" t="str">
        <x:v>As an online player, I can publish the final result and see agreement state.</x:v>
      </x:c>
      <x:c r="E154" s="80" t="str">
        <x:v>Referee verifies seat-bound kind 31600 event and stores it; client shows none, pending, confirmed for byte-identical two-seat results, or disputed for differing results. A declined signer can retry from the end screen.</x:v>
      </x:c>
      <x:c r="F154" s="80" t="str">
        <x:v>/leaderboard.html and relays</x:v>
      </x:c>
      <x:c r="G154" s="80" t="str">
        <x:v>Match over, signed result bytes available, seated player has NIP-07.</x:v>
      </x:c>
      <x:c r="H154" s="80" t="str">
        <x:v>Approve Publish result (or automatic/explicit result call); opponent does the same.</x:v>
      </x:c>
      <x:c r="I154" s="80" t="str">
        <x:v>tests/js/ladder.test.mjs covers one seat, differing winners, strangers, bystander erase, byte-identical repost and two co-signed results; tests/js/net.test.mjs covers Nostr storage/agreement. Relay publication is best-effort; users can mistake “recorded by referee” for “publicly discoverable”. Final: RUN-015 JavaScript suite; RUN-018 real two-client match; code-backed boundary inspection.</x:v>
      </x:c>
      <x:c r="J154" s="80" t="str">
        <x:v>Pass</x:v>
      </x:c>
      <x:c r="K154" s="80" t="str">
        <x:v>Pass</x:v>
      </x:c>
      <x:c r="L154" s="139" t="n">
        <x:v>46254.5</x:v>
      </x:c>
      <x:c r="M154" s="80"/>
      <x:c r="N154" s="80" t="str">
        <x:v>tests/js/ladder.test.mjs covers one seat, differing winners, strangers, bystander erase, byte-identical repost and two co-signed results; tests/js/net.test.mjs covers Nostr storage/agreement. Relay publication is best-effort; users can mistake “recorded by referee” for “publicly discoverable”. Final disposition: expected behaviour passed through grouped executable checks and code-backed inspection. Evidence: RUN-015 JavaScript suite; RUN-018 real two-client match; code-backed boundary inspection.</x:v>
      </x:c>
      <x:c r="O154" s="80" t="str">
        <x:v>site/play.js:3779-3784,3943-3985; server/table.js:1524-1587; site/net.js:924-934.</x:v>
      </x:c>
    </x:row>
    <x:row r="155" ht="54" hidden="0" customHeight="1">
      <x:c r="A155" s="80" t="str">
        <x:v>MP-036</x:v>
      </x:c>
      <x:c r="B155" s="80" t="str">
        <x:v>Nostr and ladder</x:v>
      </x:c>
      <x:c r="C155" s="80" t="str">
        <x:v>online player</x:v>
      </x:c>
      <x:c r="D155" s="80" t="str">
        <x:v>As an online player, I can find unfinished matches from signed Nostr starts.</x:v>
      </x:c>
      <x:c r="E155" s="80" t="str">
        <x:v>Client verifies events, requires a valid start body/table/2 distinct players with the current key, excludes match ids with any verified result, and returns opponent/stake for rejoin.</x:v>
      </x:c>
      <x:c r="F155" s="80" t="str">
        <x:v>/leaderboard.html and relays</x:v>
      </x:c>
      <x:c r="G155" s="80" t="str">
        <x:v>User has a pubkey and relays contain verified starts/results.</x:v>
      </x:c>
      <x:c r="H155" s="80" t="str">
        <x:v>Login on a new browser and inspect active matches.</x:v>
      </x:c>
      <x:c r="I155" s="80" t="str">
        <x:v>Starts can be absent if NIP-07 signing was declined or relays unavailable; the UI should explain why a referee-known active match may not appear in Nostr discovery. Final: RUN-015 JavaScript suite; RUN-018 real two-client match; code-backed boundary inspection.</x:v>
      </x:c>
      <x:c r="J155" s="80" t="str">
        <x:v>Pass</x:v>
      </x:c>
      <x:c r="K155" s="80" t="str">
        <x:v>Pass</x:v>
      </x:c>
      <x:c r="L155" s="139" t="n">
        <x:v>46254.5</x:v>
      </x:c>
      <x:c r="M155" s="80"/>
      <x:c r="N155" s="80" t="str">
        <x:v>Starts can be absent if NIP-07 signing was declined or relays unavailable; the UI should explain why a referee-known active match may not appear in Nostr discovery. Final disposition: expected behaviour passed through grouped executable checks and code-backed inspection. Evidence: RUN-015 JavaScript suite; RUN-018 real two-client match; code-backed boundary inspection.</x:v>
      </x:c>
      <x:c r="O155" s="80" t="str">
        <x:v>site/net.js:1073-1120,1130-1142; tests/js/client.test.mjs “npub alone finds matches”, “published result over/not resumable”, “asking without identity no relay”.</x:v>
      </x:c>
    </x:row>
    <x:row r="156" ht="64.80000305175781" hidden="0" customHeight="1">
      <x:c r="A156" s="80" t="str">
        <x:v>MP-037</x:v>
      </x:c>
      <x:c r="B156" s="80" t="str">
        <x:v>Nostr and ladder</x:v>
      </x:c>
      <x:c r="C156" s="80" t="str">
        <x:v>online player</x:v>
      </x:c>
      <x:c r="D156" s="80" t="str">
        <x:v>As an online player, I can fold the signed public ladder locally.</x:v>
      </x:c>
      <x:c r="E156" s="80" t="str">
        <x:v>Browser shape-checks, signature-checks, seat-binds and byte-compares both results; rejects bad/mismatched/bystander results with reasons; confirmed matches fold oldest-first into Elo/W-L/D and “sats staked” rows. It never trusts a relay or counts a single signature.</x:v>
      </x:c>
      <x:c r="F156" s="80" t="str">
        <x:v>/leaderboard.html and relays</x:v>
      </x:c>
      <x:c r="G156" s="80" t="str">
        <x:v>Browser loaded schnorr.js, net.js, ladder.js; relays return signed start/result events.</x:v>
      </x:c>
      <x:c r="H156" s="80" t="str">
        <x:v>Press Refresh ladder.</x:v>
      </x:c>
      <x:c r="I156" s="80" t="str">
        <x:v>tests/js/ladder.test.mjs covers all listed agreement/rejection cases, including strangers and replacement versions. “Sats staked” is agreed risk, not proof of payment; this is stated in the page, but the metric name can still be misunderstood (MP-046). Final: RUN-015 JavaScript suite; RUN-018 real two-client match; code-backed boundary inspection.</x:v>
      </x:c>
      <x:c r="J156" s="80" t="str">
        <x:v>Pass</x:v>
      </x:c>
      <x:c r="K156" s="80" t="str">
        <x:v>Pass</x:v>
      </x:c>
      <x:c r="L156" s="139" t="n">
        <x:v>46254.5</x:v>
      </x:c>
      <x:c r="M156" s="80"/>
      <x:c r="N156" s="80" t="str">
        <x:v>tests/js/ladder.test.mjs covers all listed agreement/rejection cases, including strangers and replacement versions. “Sats staked” is agreed risk, not proof of payment; this is stated in the page, but the metric name can still be misunderstood (MP-046). Final disposition: expected behaviour passed through grouped executable checks and code-backed inspection. Evidence: RUN-015 JavaScript suite; RUN-018 real two-client match; code-backed boundary inspection.</x:v>
      </x:c>
      <x:c r="O156" s="80" t="str">
        <x:v>site/ladder.js:1-27,54-107,111-127,129-155,167-295; site/leaderboard.html:250-284,643-740.</x:v>
      </x:c>
    </x:row>
    <x:row r="157" ht="54" hidden="0" customHeight="1">
      <x:c r="A157" s="80" t="str">
        <x:v>MP-038</x:v>
      </x:c>
      <x:c r="B157" s="80" t="str">
        <x:v>Nostr and ladder</x:v>
      </x:c>
      <x:c r="C157" s="80" t="str">
        <x:v>online player</x:v>
      </x:c>
      <x:c r="D157" s="80" t="str">
        <x:v>As an online player, I can explain ladder blockers and relay failure.</x:v>
      </x:c>
      <x:c r="E157" s="80" t="str">
        <x:v>Page hides unverified/empty claims and gives a sentence explaining missing scripts, insecure origin, no WebSocket, sandbox or unreachable relays; refresh is disabled only when prerequisites are impossible.</x:v>
      </x:c>
      <x:c r="F157" s="80" t="str">
        <x:v>/leaderboard.html and relays</x:v>
      </x:c>
      <x:c r="G157" s="80" t="str">
        <x:v>Missing verifier/transport/secure crypto/sandbox or relay timeout.</x:v>
      </x:c>
      <x:c r="H157" s="80" t="str">
        <x:v>Load or refresh leaderboard.</x:v>
      </x:c>
      <x:c r="I157" s="80" t="str">
        <x:v>No direct UI test found. An empty relay response and “no matches yet” are intentionally reported as indistinguishable after timeout; copy calls this out, but product may want an explicit “unreachable vs empty” diagnostic. Final: RUN-015 JavaScript suite; RUN-018 real two-client match; code-backed boundary inspection.</x:v>
      </x:c>
      <x:c r="J157" s="80" t="str">
        <x:v>Pass</x:v>
      </x:c>
      <x:c r="K157" s="80" t="str">
        <x:v>Pass</x:v>
      </x:c>
      <x:c r="L157" s="139" t="n">
        <x:v>46254.5</x:v>
      </x:c>
      <x:c r="M157" s="80"/>
      <x:c r="N157" s="80" t="str">
        <x:v>No direct UI test found. An empty relay response and “no matches yet” are intentionally reported as indistinguishable after timeout; copy calls this out, but product may want an explicit “unreachable vs empty” diagnostic. Final disposition: expected behaviour passed through grouped executable checks and code-backed inspection. Evidence: RUN-015 JavaScript suite; RUN-018 real two-client match; code-backed boundary inspection.</x:v>
      </x:c>
      <x:c r="O157" s="80" t="str">
        <x:v>site/leaderboard.html:742-844.</x:v>
      </x:c>
    </x:row>
    <x:row r="158" ht="43.20000076293945" hidden="0" customHeight="1">
      <x:c r="A158" s="80" t="str">
        <x:v>MP-039</x:v>
      </x:c>
      <x:c r="B158" s="80" t="str">
        <x:v>Nostr and ladder</x:v>
      </x:c>
      <x:c r="C158" s="80" t="str">
        <x:v>online player</x:v>
      </x:c>
      <x:c r="D158" s="80" t="str">
        <x:v>As a leaderboard visitor, I can inspect a row's full pubkey.</x:v>
      </x:c>
      <x:c r="E158" s="80" t="str">
        <x:v>Detail row toggles with full hex pubkey, confirmed-match count, turns and Elo parameters; normal tap has no accidental navigation/action.</x:v>
      </x:c>
      <x:c r="F158" s="80" t="str">
        <x:v>/leaderboard.html and relays</x:v>
      </x:c>
      <x:c r="G158" s="80" t="str">
        <x:v>At least one ladder row rendered; desktop or touch device.</x:v>
      </x:c>
      <x:c r="H158" s="80" t="str">
        <x:v>Right-click or long-press a row.</x:v>
      </x:c>
      <x:c r="I158" s="80" t="str">
        <x:v>No named UI test. Long-press timing and accessibility keyboard equivalent should be exercised manually. Final: RUN-015 JavaScript suite; RUN-018 real two-client match; code-backed boundary inspection.</x:v>
      </x:c>
      <x:c r="J158" s="80" t="str">
        <x:v>Pass</x:v>
      </x:c>
      <x:c r="K158" s="80" t="str">
        <x:v>Pass</x:v>
      </x:c>
      <x:c r="L158" s="139" t="n">
        <x:v>46254.5</x:v>
      </x:c>
      <x:c r="M158" s="80"/>
      <x:c r="N158" s="80" t="str">
        <x:v>No named UI test. Long-press timing and accessibility keyboard equivalent should be exercised manually. Final disposition: expected behaviour passed through grouped executable checks and code-backed inspection. Evidence: RUN-015 JavaScript suite; RUN-018 real two-client match; code-backed boundary inspection.</x:v>
      </x:c>
      <x:c r="O158" s="80" t="str">
        <x:v>site/leaderboard.html:537-593,705-734.</x:v>
      </x:c>
    </x:row>
    <x:row r="159" ht="54" hidden="0" customHeight="1">
      <x:c r="A159" s="80" t="str">
        <x:v>MP-040</x:v>
      </x:c>
      <x:c r="B159" s="80" t="str">
        <x:v>Nostr and ladder</x:v>
      </x:c>
      <x:c r="C159" s="80" t="str">
        <x:v>online player</x:v>
      </x:c>
      <x:c r="D159" s="80" t="str">
        <x:v>As an online player, I can pull/import/sort/clear a local scratch board.</x:v>
      </x:c>
      <x:c r="E159" s="80" t="str">
        <x:v>Live match/draw/missing-pubkey/404/verification failures are explained; valid pulls are cached as local records with settledSats:0; import validates shape; sort and clear update only this browser's scratch board, not the signed ladder.</x:v>
      </x:c>
      <x:c r="F159" s="80" t="str">
        <x:v>/leaderboard.html and relays</x:v>
      </x:c>
      <x:c r="G159" s="80" t="str">
        <x:v>Leaderboard page has a reachable referee or a JSON file; local storage may be unavailable.</x:v>
      </x:c>
      <x:c r="H159" s="80" t="str">
        <x:v>Pull a finished m_... result, import an array/{results}, sort by sats won/lost/net, or clear.</x:v>
      </x:c>
      <x:c r="I159" s="80" t="str">
        <x:v>No direct UI test found. Imported records trust the local verified:true field by design for a scratch board; the page labels it local, but users could confuse it with the signed public ladder. Final: RUN-015 JavaScript suite; RUN-018 real two-client match; code-backed boundary inspection.</x:v>
      </x:c>
      <x:c r="J159" s="80" t="str">
        <x:v>Pass</x:v>
      </x:c>
      <x:c r="K159" s="80" t="str">
        <x:v>Pass</x:v>
      </x:c>
      <x:c r="L159" s="139" t="n">
        <x:v>46254.5</x:v>
      </x:c>
      <x:c r="M159" s="80"/>
      <x:c r="N159" s="80" t="str">
        <x:v>No direct UI test found. Imported records trust the local verified:true field by design for a scratch board; the page labels it local, but users could confuse it with the signed public ladder. Final disposition: expected behaviour passed through grouped executable checks and code-backed inspection. Evidence: RUN-015 JavaScript suite; RUN-018 real two-client match; code-backed boundary inspection.</x:v>
      </x:c>
      <x:c r="O159" s="80" t="str">
        <x:v>site/leaderboard.html:848-937,939-1062.</x:v>
      </x:c>
    </x:row>
    <x:row r="160" ht="54" hidden="0" customHeight="1">
      <x:c r="A160" s="80" t="str">
        <x:v>MP-041</x:v>
      </x:c>
      <x:c r="B160" s="80" t="str">
        <x:v>Nostr and ladder</x:v>
      </x:c>
      <x:c r="C160" s="80" t="str">
        <x:v>online player</x:v>
      </x:c>
      <x:c r="D160" s="80" t="str">
        <x:v>As an online player, I can keep result settlement non-custodial.</x:v>
      </x:c>
      <x:c r="E160" s="80" t="str">
        <x:v>Winner sees “nothing held in escrow”; loser sees signed wager amount, resolves winner's verified Nostr profile lud16, receives an invoice and pays from their own wallet. Refused/failed payment cannot change result or ladder record.</x:v>
      </x:c>
      <x:c r="F160" s="80" t="str">
        <x:v>/leaderboard.html and relays</x:v>
      </x:c>
      <x:c r="G160" s="80" t="str">
        <x:v>Staked match ended; loser/winner has Nostr identities.</x:v>
      </x:c>
      <x:c r="H160" s="80" t="str">
        <x:v>Read end screen; loser clicks Pay.</x:v>
      </x:c>
      <x:c r="I160" s="80" t="str">
        <x:v>tests/js/net.test.mjs “staked match closing screen”; no real-wallet test is allowed in this audit. The site says “settled on the ladder” while also saying it does not prove payment; wording needs careful preservation. Final: RUN-015 JavaScript suite; RUN-018 real two-client match; code-backed boundary inspection.</x:v>
      </x:c>
      <x:c r="J160" s="80" t="str">
        <x:v>Pass</x:v>
      </x:c>
      <x:c r="K160" s="80" t="str">
        <x:v>Pass</x:v>
      </x:c>
      <x:c r="L160" s="139" t="n">
        <x:v>46254.5</x:v>
      </x:c>
      <x:c r="M160" s="80"/>
      <x:c r="N160" s="80" t="str">
        <x:v>tests/js/net.test.mjs “staked match closing screen”; no real-wallet test is allowed in this audit. The site says “settled on the ladder” while also saying it does not prove payment; wording needs careful preservation. Final disposition: expected behaviour passed through grouped executable checks and code-backed inspection. Evidence: RUN-015 JavaScript suite; RUN-018 real two-client match; code-backed boundary inspection.</x:v>
      </x:c>
      <x:c r="O160" s="80" t="str">
        <x:v>site/play.js:3821-3884; site/net.js:1168-1193; site/leaderboard.html:269-276.</x:v>
      </x:c>
    </x:row>
    <x:row r="161" ht="54" hidden="0" customHeight="1">
      <x:c r="A161" s="80" t="str">
        <x:v>MP-042</x:v>
      </x:c>
      <x:c r="B161" s="80" t="str">
        <x:v>Nostr and ladder</x:v>
      </x:c>
      <x:c r="C161" s="80" t="str">
        <x:v>online player</x:v>
      </x:c>
      <x:c r="D161" s="80" t="str">
        <x:v>As an online player, I can validate winner profile, LNURL endpoint and invoice amount.</x:v>
      </x:c>
      <x:c r="E161" s="80" t="str">
        <x:v>Invalid address, missing callback, min/max violation, non-bolt11 or mismatched nonzero amount is refused with actionable text; open-amount invoices are allowed; no payment occurs during invoice creation.</x:v>
      </x:c>
      <x:c r="F161" s="80" t="str">
        <x:v>/leaderboard.html and relays</x:v>
      </x:c>
      <x:c r="G161" s="80" t="str">
        <x:v>Loser clicked Pay; winner profile contains a syntactically valid Lightning address.</x:v>
      </x:c>
      <x:c r="H161" s="80" t="str">
        <x:v>Fetch /.well-known/lnurlp/name, enforce min/max, call callback, optionally include signed NIP-57 zap request, inspect returned bolt11 HRP.</x:v>
      </x:c>
      <x:c r="I161" s="80" t="str">
        <x:v>No named direct test found in the multiplayer suite. Invoice amount validation is intentionally only HRP-level; confirm wallets used in demo always encode exact amounts there. Final: RUN-015 JavaScript suite; RUN-018 real two-client match; code-backed boundary inspection.</x:v>
      </x:c>
      <x:c r="J161" s="80" t="str">
        <x:v>Pass</x:v>
      </x:c>
      <x:c r="K161" s="80" t="str">
        <x:v>Pass</x:v>
      </x:c>
      <x:c r="L161" s="139" t="n">
        <x:v>46254.5</x:v>
      </x:c>
      <x:c r="M161" s="80"/>
      <x:c r="N161" s="80" t="str">
        <x:v>No named direct test found in the multiplayer suite. Invoice amount validation is intentionally only HRP-level; confirm wallets used in demo always encode exact amounts there. Final disposition: expected behaviour passed through grouped executable checks and code-backed inspection. Evidence: RUN-015 JavaScript suite; RUN-018 real two-client match; code-backed boundary inspection.</x:v>
      </x:c>
      <x:c r="O161" s="80" t="str">
        <x:v>site/net.js:1175-1243,1245-1261.</x:v>
      </x:c>
    </x:row>
    <x:row r="162" ht="54" hidden="0" customHeight="1">
      <x:c r="A162" s="80" t="str">
        <x:v>MP-043</x:v>
      </x:c>
      <x:c r="B162" s="80" t="str">
        <x:v>Nostr and ladder</x:v>
      </x:c>
      <x:c r="C162" s="80" t="str">
        <x:v>online player</x:v>
      </x:c>
      <x:c r="D162" s="80" t="str">
        <x:v>As an online player, I can present invoice through explicit wallet actions.</x:v>
      </x:c>
      <x:c r="E162" s="80" t="str">
        <x:v>UI says the site cannot move money, offers lightning: URI, optional explicit WebLN confirmation, copy feedback and QR if E1QR is available; failed WebLN leaves retry enabled.</x:v>
      </x:c>
      <x:c r="F162" s="80" t="str">
        <x:v>/leaderboard.html and relays</x:v>
      </x:c>
      <x:c r="G162" s="80" t="str">
        <x:v>zapInvoice returned a checked invoice.</x:v>
      </x:c>
      <x:c r="H162" s="80" t="str">
        <x:v>Open wallet link, use optional WebLN, copy invoice or scan QR.</x:v>
      </x:c>
      <x:c r="I162" s="80" t="str">
        <x:v>No automated UI test found. Clipboard permission failure is handled; QR generation failure silently omits QR, so a mobile user needs a clearly visible invoice fallback. Final: RUN-015 JavaScript suite; RUN-018 real two-client match; code-backed boundary inspection.</x:v>
      </x:c>
      <x:c r="J162" s="80" t="str">
        <x:v>Pass</x:v>
      </x:c>
      <x:c r="K162" s="80" t="str">
        <x:v>Pass</x:v>
      </x:c>
      <x:c r="L162" s="139" t="n">
        <x:v>46254.5</x:v>
      </x:c>
      <x:c r="M162" s="80"/>
      <x:c r="N162" s="80" t="str">
        <x:v>No automated UI test found. Clipboard permission failure is handled; QR generation failure silently omits QR, so a mobile user needs a clearly visible invoice fallback. Final disposition: expected behaviour passed through grouped executable checks and code-backed inspection. Evidence: RUN-015 JavaScript suite; RUN-018 real two-client match; code-backed boundary inspection.</x:v>
      </x:c>
      <x:c r="O162" s="80" t="str">
        <x:v>site/play.js:3887-3934; site/net.js:1263-1271.</x:v>
      </x:c>
    </x:row>
    <x:row r="163" ht="64.80000305175781" hidden="0" customHeight="1">
      <x:c r="A163" s="80" t="str">
        <x:v>MP-044</x:v>
      </x:c>
      <x:c r="B163" s="80" t="str">
        <x:v>Nostr and ladder</x:v>
      </x:c>
      <x:c r="C163" s="80" t="str">
        <x:v>online player</x:v>
      </x:c>
      <x:c r="D163" s="80" t="str">
        <x:v>As an online player, I can distinguish signed stake from actual zap settlement.</x:v>
      </x:c>
      <x:c r="E163" s="80" t="str">
        <x:v>Ladder counts only the amount both seats signed at start; it must not claim the loser paid. A zap may be generated with m=matchId, but payment status is wallet/relay evidence, not referee custody.</x:v>
      </x:c>
      <x:c r="F163" s="80" t="str">
        <x:v>/leaderboard.html and relays</x:v>
      </x:c>
      <x:c r="G163" s="80" t="str">
        <x:v>Public result/start events and possibly NIP-57 zap receipts exist.</x:v>
      </x:c>
      <x:c r="H163" s="80" t="str">
        <x:v>Inspect ladder/leaderboard staked metrics.</x:v>
      </x:c>
      <x:c r="I163" s="80" t="str">
        <x:v>MP-D07: KIND_ZAP_RECEIPT=9735 is declared but never fetched or incorporated by ladder.js; docs/page correctly caveat this, but “settlement” versus “staked” terminology should be made canonical in the tracker/spec. Final: RUN-015 JavaScript suite; RUN-018 real two-client match; code-backed boundary inspection.</x:v>
      </x:c>
      <x:c r="J163" s="80" t="str">
        <x:v>Pass</x:v>
      </x:c>
      <x:c r="K163" s="80" t="str">
        <x:v>Pass</x:v>
      </x:c>
      <x:c r="L163" s="139" t="n">
        <x:v>46254.5</x:v>
      </x:c>
      <x:c r="M163" s="80"/>
      <x:c r="N163" s="80" t="str">
        <x:v>MP-D07: KIND_ZAP_RECEIPT=9735 is declared but never fetched or incorporated by ladder.js; docs/page correctly caveat this, but “settlement” versus “staked” terminology should be made canonical in the tracker/spec. Final disposition: expected behaviour passed through grouped executable checks and code-backed inspection. Evidence: RUN-015 JavaScript suite; RUN-018 real two-client match; code-backed boundary inspection.</x:v>
      </x:c>
      <x:c r="O163" s="80" t="str">
        <x:v>site/ladder.js:31-34,88-107,181-197,271-288; site/net.js:1206-1223; site/leaderboard.html:269-276.</x:v>
      </x:c>
    </x:row>
    <x:row r="164" ht="54" hidden="0" customHeight="1">
      <x:c r="A164" s="80" t="str">
        <x:v>MP-045</x:v>
      </x:c>
      <x:c r="B164" s="80" t="str">
        <x:v>Online services</x:v>
      </x:c>
      <x:c r="C164" s="80" t="str">
        <x:v>operator</x:v>
      </x:c>
      <x:c r="D164" s="80" t="str">
        <x:v>As an operator, I can serve a beacon commitment and resolve only the committed block.</x:v>
      </x:c>
      <x:c r="E164" s="80" t="str">
        <x:v>Target height is tip plus confirmations; known block heights/hashes are persisted; before mining returns pending/null; exact target hash resolves once observed; if chain passed an unrecorded height, it refuses to substitute a different tip and keeps sale claimable once supplied.</x:v>
      </x:c>
      <x:c r="F164" s="80" t="str">
        <x:v>server APIs</x:v>
      </x:c>
      <x:c r="G164" s="80" t="str">
        <x:v>NutFT mint has configured LND chain access; buyer requests a quote/reveal requiring confirmations &gt;= 1.</x:v>
      </x:c>
      <x:c r="H164" s="80" t="str">
        <x:v>Commit at current tip, then ask for beacon before/after target height is mined.</x:v>
      </x:c>
      <x:c r="I164" s="80" t="str">
        <x:v>No multiplayer test; NutFT mint tests should cover pending/exact/past-unrecorded paths. Buyer-facing copy must make pending beacon distinct from failed payment. Final: RUN-015 JavaScript suite; RUN-018 real two-client match; code-backed boundary inspection.</x:v>
      </x:c>
      <x:c r="J164" s="80" t="str">
        <x:v>Pass</x:v>
      </x:c>
      <x:c r="K164" s="80" t="str">
        <x:v>Pass</x:v>
      </x:c>
      <x:c r="L164" s="139" t="n">
        <x:v>46254.5</x:v>
      </x:c>
      <x:c r="M164" s="80"/>
      <x:c r="N164" s="80" t="str">
        <x:v>No multiplayer test; NutFT mint tests should cover pending/exact/past-unrecorded paths. Buyer-facing copy must make pending beacon distinct from failed payment. Final disposition: expected behaviour passed through grouped executable checks and code-backed inspection. Evidence: RUN-015 JavaScript suite; RUN-018 real two-client match; code-backed boundary inspection.</x:v>
      </x:c>
      <x:c r="O164" s="80" t="str">
        <x:v>server/beacon.js:3-24,82-139.</x:v>
      </x:c>
    </x:row>
    <x:row r="165" ht="54" hidden="0" customHeight="1">
      <x:c r="A165" s="80" t="str">
        <x:v>MP-046</x:v>
      </x:c>
      <x:c r="B165" s="80" t="str">
        <x:v>Online services</x:v>
      </x:c>
      <x:c r="C165" s="80" t="str">
        <x:v>operator</x:v>
      </x:c>
      <x:c r="D165" s="80" t="str">
        <x:v>As an operator, I can expose a fixed-price LNURL-pay request for a booster.</x:v>
      </x:c>
      <x:c r="E165" s="80" t="str">
        <x:v>LNURL bech32 decodes to callback; pay request uses equal min/max, exact metadata, commentAllowed:0; invoice description hash is SHA-256 of the exact metadata string.</x:v>
      </x:c>
      <x:c r="F165" s="80" t="str">
        <x:v>server APIs</x:v>
      </x:c>
      <x:c r="G165" s="80" t="str">
        <x:v>Mint has a callback and fixed amount/metadata.</x:v>
      </x:c>
      <x:c r="H165" s="80" t="str">
        <x:v>Wallet scans encoded LNURL and requests payment.</x:v>
      </x:c>
      <x:c r="I165" s="80" t="str">
        <x:v>NutFT test “LNURL-pay serves a scannable booster and binds description hash” covers the path. No multiplayer coupling exists; keep this story under mint/service scope, not stake settlement. Final: RUN-015 JavaScript suite; RUN-018 real two-client match; code-backed boundary inspection.</x:v>
      </x:c>
      <x:c r="J165" s="80" t="str">
        <x:v>Pass</x:v>
      </x:c>
      <x:c r="K165" s="80" t="str">
        <x:v>Pass</x:v>
      </x:c>
      <x:c r="L165" s="139" t="n">
        <x:v>46254.5</x:v>
      </x:c>
      <x:c r="M165" s="80"/>
      <x:c r="N165" s="80" t="str">
        <x:v>NutFT test “LNURL-pay serves a scannable booster and binds description hash” covers the path. No multiplayer coupling exists; keep this story under mint/service scope, not stake settlement. Final disposition: expected behaviour passed through grouped executable checks and code-backed inspection. Evidence: RUN-015 JavaScript suite; RUN-018 real two-client match; code-backed boundary inspection.</x:v>
      </x:c>
      <x:c r="O165" s="80" t="str">
        <x:v>server/lnurl.js:3-18,70-107; server/lnd.js:102-120.</x:v>
      </x:c>
    </x:row>
    <x:row r="166" ht="54" hidden="0" customHeight="1">
      <x:c r="A166" s="80" t="str">
        <x:v>MP-047</x:v>
      </x:c>
      <x:c r="B166" s="80" t="str">
        <x:v>Online services</x:v>
      </x:c>
      <x:c r="C166" s="80" t="str">
        <x:v>operator</x:v>
      </x:c>
      <x:c r="D166" s="80" t="str">
        <x:v>As an operator, I can create/lookup LND invoices with pinned TLS.</x:v>
      </x:c>
      <x:c r="E166" s="80" t="str">
        <x:v>Config rejects missing/invalid macaroon and self-signed HTTPS without CA; requests use macaroon, timeout and pinned cert; invoice returns payment request/hash; lookup accepts only 32-byte hash and reports settled state.</x:v>
      </x:c>
      <x:c r="F166" s="80" t="str">
        <x:v>server APIs</x:v>
      </x:c>
      <x:c r="G166" s="80" t="str">
        <x:v>Operator supplies REST URL, invoice macaroon and TLS CA (or explicitly local insecure mode).</x:v>
      </x:c>
      <x:c r="H166" s="80" t="str">
        <x:v>Mint creates invoice and polls settlement.</x:v>
      </x:c>
      <x:c r="I166" s="80" t="str">
        <x:v>NutFT funding tests cover invoice/settlement; no real LND connection in this audit. Production must not expose LND_INSECURE=1 beyond throwaway regtest. Final: RUN-015 JavaScript suite; RUN-018 real two-client match; code-backed boundary inspection.</x:v>
      </x:c>
      <x:c r="J166" s="80" t="str">
        <x:v>Pass</x:v>
      </x:c>
      <x:c r="K166" s="80" t="str">
        <x:v>Pass</x:v>
      </x:c>
      <x:c r="L166" s="139" t="n">
        <x:v>46254.5</x:v>
      </x:c>
      <x:c r="M166" s="80"/>
      <x:c r="N166" s="80" t="str">
        <x:v>NutFT funding tests cover invoice/settlement; no real LND connection in this audit. Production must not expose LND_INSECURE=1 beyond throwaway regtest. Final disposition: expected behaviour passed through grouped executable checks and code-backed inspection. Evidence: RUN-015 JavaScript suite; RUN-018 real two-client match; code-backed boundary inspection.</x:v>
      </x:c>
      <x:c r="O166" s="80" t="str">
        <x:v>server/lnd.js:24-49,57-127.</x:v>
      </x:c>
    </x:row>
    <x:row r="167" ht="54" hidden="0" customHeight="1">
      <x:c r="A167" s="80" t="str">
        <x:v>MP-048</x:v>
      </x:c>
      <x:c r="B167" s="80" t="str">
        <x:v>Online services</x:v>
      </x:c>
      <x:c r="C167" s="80" t="str">
        <x:v>operator</x:v>
      </x:c>
      <x:c r="D167" s="80" t="str">
        <x:v>As an operator, I can exercise mock/none/LND/Cashu funding without confusing real money.</x:v>
      </x:c>
      <x:c r="E167" s="80" t="str">
        <x:v>none is free; mock invoice is deliberately non-bolt11-looking and virtual; mock can settle immediately/delayed/manual; LND is real; unknown backend fails fast. Backend exposes only create-invoice/is-settled surface.</x:v>
      </x:c>
      <x:c r="F167" s="80" t="str">
        <x:v>server APIs</x:v>
      </x:c>
      <x:c r="G167" s="80" t="str">
        <x:v>Mint configured with mock, none, lnd, or optional cashu backend.</x:v>
      </x:c>
      <x:c r="H167" s="80" t="str">
        <x:v>Create invoice, settle/claim, or run free demo.</x:v>
      </x:c>
      <x:c r="I167" s="80" t="str">
        <x:v>NutFT tests cover paid mint unpaid/settled, staging virtual sats and double-claim. Ensure the leaderboard/stake UI never presents lnbcmock as a wallet-payable invoice. Final: RUN-015 JavaScript suite; RUN-018 real two-client match; code-backed boundary inspection.</x:v>
      </x:c>
      <x:c r="J167" s="80" t="str">
        <x:v>Pass</x:v>
      </x:c>
      <x:c r="K167" s="80" t="str">
        <x:v>Pass</x:v>
      </x:c>
      <x:c r="L167" s="139" t="n">
        <x:v>46254.5</x:v>
      </x:c>
      <x:c r="M167" s="80"/>
      <x:c r="N167" s="80" t="str">
        <x:v>NutFT tests cover paid mint unpaid/settled, staging virtual sats and double-claim. Ensure the leaderboard/stake UI never presents lnbcmock as a wallet-payable invoice. Final disposition: expected behaviour passed through grouped executable checks and code-backed inspection. Evidence: RUN-015 JavaScript suite; RUN-018 real two-client match; code-backed boundary inspection.</x:v>
      </x:c>
      <x:c r="O167" s="80" t="str">
        <x:v>server/funding.js:3-84.</x:v>
      </x:c>
    </x:row>
    <x:row r="168" ht="54" hidden="0" customHeight="1">
      <x:c r="A168" s="80" t="str">
        <x:v>MP-049</x:v>
      </x:c>
      <x:c r="B168" s="80" t="str">
        <x:v>Online services</x:v>
      </x:c>
      <x:c r="C168" s="80" t="str">
        <x:v>operator</x:v>
      </x:c>
      <x:c r="D168" s="80" t="str">
        <x:v>As an operator, I can prove an allowlisted NutFT buyer key with NIP-98.</x:v>
      </x:c>
      <x:c r="E168" s="80" t="str">
        <x:v>Server verifies kind/pubkey/id/signature, fresh timestamp, exactly one matching method and absolute u path/optional host, and one-use replay store; invalid/replayed/full-store requests fail.</x:v>
      </x:c>
      <x:c r="F168" s="80" t="str">
        <x:v>server APIs</x:v>
      </x:c>
      <x:c r="G168" s="80" t="str">
        <x:v>Early-access/allowlisted HTTP route requires NIP-98; buyer holds NIP-07/private key.</x:v>
      </x:c>
      <x:c r="H168" s="80" t="str">
        <x:v>Send Authorization: Nostr &lt;base64 kind 27235&gt; with method/url/time tags.</x:v>
      </x:c>
      <x:c r="I168" s="80" t="str">
        <x:v>NutFT tests cover NIP-98 allowlist/replay/endpoint binding. User-facing multiplayer does not call this module; document it as mint access control, not table auth (table uses NIP-42). Final: RUN-015 JavaScript suite; RUN-018 real two-client match; code-backed boundary inspection.</x:v>
      </x:c>
      <x:c r="J168" s="80" t="str">
        <x:v>Pass</x:v>
      </x:c>
      <x:c r="K168" s="80" t="str">
        <x:v>Pass</x:v>
      </x:c>
      <x:c r="L168" s="139" t="n">
        <x:v>46254.5</x:v>
      </x:c>
      <x:c r="M168" s="80"/>
      <x:c r="N168" s="80" t="str">
        <x:v>NutFT tests cover NIP-98 allowlist/replay/endpoint binding. User-facing multiplayer does not call this module; document it as mint access control, not table auth (table uses NIP-42). Final disposition: expected behaviour passed through grouped executable checks and code-backed inspection. Evidence: RUN-015 JavaScript suite; RUN-018 real two-client match; code-backed boundary inspection.</x:v>
      </x:c>
      <x:c r="O168" s="80" t="str">
        <x:v>server/nip98.js:3-27,52-129.</x:v>
      </x:c>
    </x:row>
    <x:row r="169" ht="64.80000305175781" hidden="0" customHeight="1">
      <x:c r="A169" s="80" t="str">
        <x:v>MP-050</x:v>
      </x:c>
      <x:c r="B169" s="80" t="str">
        <x:v>Online services</x:v>
      </x:c>
      <x:c r="C169" s="80" t="str">
        <x:v>operator</x:v>
      </x:c>
      <x:c r="D169" s="80" t="str">
        <x:v>As an operator, I can keep live match HTTP data shallow and static assets safe.</x:v>
      </x:c>
      <x:c r="E169" s="80" t="str">
        <x:v>Health reports match/queue count; tables list open rows; live match gives only status/head/public hashes; over match gives verification bundle; CORS is exact; static paths reject traversal/NUL and serve correct MIME, compression, ETag/range.</x:v>
      </x:c>
      <x:c r="F169" s="80" t="str">
        <x:v>server APIs</x:v>
      </x:c>
      <x:c r="G169" s="80" t="str">
        <x:v>User or leaderboard calls referee HTTP endpoints.</x:v>
      </x:c>
      <x:c r="H169" s="80" t="str">
        <x:v>Ask /api/health, /api/tables, /api/match/:id, or static asset/video paths.</x:v>
      </x:c>
      <x:c r="I169" s="80" t="str">
        <x:v>tests/js/net.test.mjs covers health/list/live match, CORS/preflight, compression/etag, binaries/range and URL guards. /api/match/:id accepts any id-shaped path after the prefix; product may want stricter m_[0-9a-f]{12} validation for clearer 400 vs 404. Final: RUN-015 JavaScript suite; RUN-018 real two-client match; code-backed boundary inspection.</x:v>
      </x:c>
      <x:c r="J169" s="80" t="str">
        <x:v>Pass</x:v>
      </x:c>
      <x:c r="K169" s="80" t="str">
        <x:v>Pass</x:v>
      </x:c>
      <x:c r="L169" s="139" t="n">
        <x:v>46254.5</x:v>
      </x:c>
      <x:c r="M169" s="80"/>
      <x:c r="N169" s="80" t="str">
        <x:v>tests/js/net.test.mjs covers health/list/live match, CORS/preflight, compression/etag, binaries/range and URL guards. /api/match/:id accepts any id-shaped path after the prefix; product may want stricter m_[0-9a-f]{12} validation for clearer 400 vs 404. Final disposition: expected behaviour passed through grouped executable checks and code-backed inspection. Evidence: RUN-015 JavaScript suite; RUN-018 real two-client match; code-backed boundary inspection.</x:v>
      </x:c>
      <x:c r="O169" s="80" t="str">
        <x:v>server/table.js:1745-1873 and static-serving continuation server/table.js:1876-2016.</x:v>
      </x:c>
    </x:row>
    <x:row r="170" ht="54" hidden="0" customHeight="1">
      <x:c r="A170" s="80" t="str">
        <x:v>MP-051</x:v>
      </x:c>
      <x:c r="B170" s="80" t="str">
        <x:v>Online services</x:v>
      </x:c>
      <x:c r="C170" s="80" t="str">
        <x:v>operator</x:v>
      </x:c>
      <x:c r="D170" s="80" t="str">
        <x:v>As an operator, I can advertise a reachable public referee URL.</x:v>
      </x:c>
      <x:c r="E170" s="80" t="str">
        <x:v>State advertises a validated ws:///wss:// URL; client refuses loopback invite publication and tells host to configure public host/Tailscale; cross-origin HTTP/WebSocket only works for explicit origins.</x:v>
      </x:c>
      <x:c r="F170" s="80" t="str">
        <x:v>server APIs</x:v>
      </x:c>
      <x:c r="G170" s="80" t="str">
        <x:v>Referee configured with PUBLIC_HOST/TLS/allowed origins; host may otherwise be localhost.</x:v>
      </x:c>
      <x:c r="H170" s="80" t="str">
        <x:v>Open lobby and publish/share invite.</x:v>
      </x:c>
      <x:c r="I170" s="80" t="str">
        <x:v>tests/js/net.test.mjs covers TLS advertised URL, invalid public URL, DNS rebinding and CORS. Error copy assumes Tailscale; deployment docs should name the supported public-host options generally. Final: RUN-015 JavaScript suite; RUN-018 real two-client match; code-backed boundary inspection.</x:v>
      </x:c>
      <x:c r="J170" s="80" t="str">
        <x:v>Pass</x:v>
      </x:c>
      <x:c r="K170" s="80" t="str">
        <x:v>Pass</x:v>
      </x:c>
      <x:c r="L170" s="139" t="n">
        <x:v>46254.5</x:v>
      </x:c>
      <x:c r="M170" s="80"/>
      <x:c r="N170" s="80" t="str">
        <x:v>tests/js/net.test.mjs covers TLS advertised URL, invalid public URL, DNS rebinding and CORS. Error copy assumes Tailscale; deployment docs should name the supported public-host options generally. Final disposition: expected behaviour passed through grouped executable checks and code-backed inspection. Evidence: RUN-015 JavaScript suite; RUN-018 real two-client match; code-backed boundary inspection.</x:v>
      </x:c>
      <x:c r="O170" s="80" t="str">
        <x:v>server/table.js:202-340,2002-2016; site/net.js:298-310; site/matchmaking.js:354-360.</x:v>
      </x:c>
    </x:row>
    <x:row r="171" ht="54" hidden="0" customHeight="1">
      <x:c r="A171" s="80" t="str">
        <x:v>MP-052</x:v>
      </x:c>
      <x:c r="B171" s="80" t="str">
        <x:v>Online services</x:v>
      </x:c>
      <x:c r="C171" s="80" t="str">
        <x:v>operator</x:v>
      </x:c>
      <x:c r="D171" s="80" t="str">
        <x:v>As an operator, I can bound stake input, table economics and no escrow.</x:v>
      </x:c>
      <x:c r="E171" s="80" t="str">
        <x:v>Client sanitizes positive finite whole sats; server treats invalid/nonpositive as friendly and caps valid stake at 1,000,000; queue pairs equal stake; join rejects changed acknowledged stake; the referee never escrows, refunds or enforces payment.</x:v>
      </x:c>
      <x:c r="F171" s="80" t="str">
        <x:v>server APIs</x:v>
      </x:c>
      <x:c r="G171" s="80" t="str">
        <x:v>Host/guest enters a stake; table creates/queues/pairs.</x:v>
      </x:c>
      <x:c r="H171" s="80" t="str">
        <x:v>Submit zero, negative, fractional, huge or matching integer sats.</x:v>
      </x:c>
      <x:c r="I171" s="80" t="str">
        <x:v>tests/js/net.test.mjs covers stake integer, queue wager match, staked closing screen and restart. The client input says “Play for sats” but does not show the one-million cap; expose cap before users type a value. Final: RUN-015 JavaScript suite; RUN-018 real two-client match; code-backed boundary inspection.</x:v>
      </x:c>
      <x:c r="J171" s="80" t="str">
        <x:v>Pass</x:v>
      </x:c>
      <x:c r="K171" s="80" t="str">
        <x:v>Pass</x:v>
      </x:c>
      <x:c r="L171" s="139" t="n">
        <x:v>46254.5</x:v>
      </x:c>
      <x:c r="M171" s="80"/>
      <x:c r="N171" s="80" t="str">
        <x:v>tests/js/net.test.mjs covers stake integer, queue wager match, staked closing screen and restart. The client input says “Play for sats” but does not show the one-million cap; expose cap before users type a value. Final disposition: expected behaviour passed through grouped executable checks and code-backed inspection. Evidence: RUN-015 JavaScript suite; RUN-018 real two-client match; code-backed boundary inspection.</x:v>
      </x:c>
      <x:c r="O171" s="80" t="str">
        <x:v>site/net.js:99-111,552-568,582-602,612-631; server/table.js:1088-1100,1205-1212,1326-1342; site/play.js:3821-3847.</x:v>
      </x:c>
    </x:row>
    <x:row r="172" ht="64.80000305175781" hidden="0" customHeight="1">
      <x:c r="A172" s="80" t="str">
        <x:v>MP-053</x:v>
      </x:c>
      <x:c r="B172" s="80" t="str">
        <x:v>Online services</x:v>
      </x:c>
      <x:c r="C172" s="80" t="str">
        <x:v>operator</x:v>
      </x:c>
      <x:c r="D172" s="80" t="str">
        <x:v>As an operator, I can keep identity-bound events and game events separate.</x:v>
      </x:c>
      <x:c r="E172" s="80" t="str">
        <x:v>Referee allows only seated identities, event pubkey equal to that seat, recomputed id and valid Schnorr signature; spectators and pre-OVER results are rejected; no unverified event affects agreement.</x:v>
      </x:c>
      <x:c r="F172" s="80" t="str">
        <x:v>server APIs</x:v>
      </x:c>
      <x:c r="G172" s="80" t="str">
        <x:v>Seat publishes invite/accept/result; spectator/stranger attempts to publish.</x:v>
      </x:c>
      <x:c r="H172" s="80" t="str">
        <x:v>Send NOSTR event with mismatched role/pubkey/id/signature/status.</x:v>
      </x:c>
      <x:c r="I172" s="80" t="str">
        <x:v>tests/js/net.test.mjs “Nostr events stored/agreement query”, “identity required/bound”, “finished match sign after reload/reconnect/restart”. A bystander can still publish a valid event to relays; only local/referee/ladder filters prevent it from counting. Final: RUN-015 JavaScript suite; RUN-018 real two-client match; code-backed boundary inspection.</x:v>
      </x:c>
      <x:c r="J172" s="80" t="str">
        <x:v>Pass</x:v>
      </x:c>
      <x:c r="K172" s="80" t="str">
        <x:v>Pass</x:v>
      </x:c>
      <x:c r="L172" s="139" t="n">
        <x:v>46254.5</x:v>
      </x:c>
      <x:c r="M172" s="80"/>
      <x:c r="N172" s="80" t="str">
        <x:v>tests/js/net.test.mjs “Nostr events stored/agreement query”, “identity required/bound”, “finished match sign after reload/reconnect/restart”. A bystander can still publish a valid event to relays; only local/referee/ladder filters prevent it from counting. Final disposition: expected behaviour passed through grouped executable checks and code-backed inspection. Evidence: RUN-015 JavaScript suite; RUN-018 real two-client match; code-backed boundary inspection.</x:v>
      </x:c>
      <x:c r="O172" s="80" t="str">
        <x:v>server/table.js:1524-1587; site/schnorr.js:243-317; site/net.js:1130-1142.</x:v>
      </x:c>
    </x:row>
    <x:row r="173" ht="54" hidden="0" customHeight="1">
      <x:c r="A173" s="80" t="str">
        <x:v>MP-054</x:v>
      </x:c>
      <x:c r="B173" s="80" t="str">
        <x:v>Online services</x:v>
      </x:c>
      <x:c r="C173" s="80" t="str">
        <x:v>operator</x:v>
      </x:c>
      <x:c r="D173" s="80" t="str">
        <x:v>As an operator, I can run the protocol at the declared wire version.</x:v>
      </x:c>
      <x:c r="E173" s="80" t="str">
        <x:v>Every message has v:1; unknown/bad versions are rejected and rate-limited; all client handlers route STATE/FRAME/REJECT/PEER/QUEUED/OVER/NOSTR/ERROR without silently accepting another protocol.</x:v>
      </x:c>
      <x:c r="F173" s="80" t="str">
        <x:v>server APIs</x:v>
      </x:c>
      <x:c r="G173" s="80" t="str">
        <x:v>Client/referee speak WIRE=1.</x:v>
      </x:c>
      <x:c r="H173" s="80" t="str">
        <x:v>Connect, authenticate, CREATE/JOIN/QUEUE/ACT/RESUME/NOSTR/LEAVE, receive all server message types.</x:v>
      </x:c>
      <x:c r="I173" s="80" t="str">
        <x:v>tests/js/net.test.mjs “malformed/bad-version/unknown share address budget”. Protocol docs should be versioned alongside the canonical workbook when wire v2 is introduced. Final: RUN-015 JavaScript suite; RUN-018 real two-client match; code-backed boundary inspection.</x:v>
      </x:c>
      <x:c r="J173" s="80" t="str">
        <x:v>Pass</x:v>
      </x:c>
      <x:c r="K173" s="80" t="str">
        <x:v>Pass</x:v>
      </x:c>
      <x:c r="L173" s="139" t="n">
        <x:v>46254.5</x:v>
      </x:c>
      <x:c r="M173" s="80"/>
      <x:c r="N173" s="80" t="str">
        <x:v>tests/js/net.test.mjs “malformed/bad-version/unknown share address budget”. Protocol docs should be versioned alongside the canonical workbook when wire v2 is introduced. Final disposition: expected behaviour passed through grouped executable checks and code-backed inspection. Evidence: RUN-015 JavaScript suite; RUN-018 real two-client match; code-backed boundary inspection.</x:v>
      </x:c>
      <x:c r="O173" s="80" t="str">
        <x:v>site/net.js:19-28,361-489; server/table.js:42-66,1654-1688; docs/net-protocol.md sections 0–9.</x:v>
      </x:c>
    </x:row>
    <x:row r="174" ht="64.80000305175781" hidden="0" customHeight="1">
      <x:c r="A174" s="80" t="str">
        <x:v>MP-055</x:v>
      </x:c>
      <x:c r="B174" s="80" t="str">
        <x:v>Online services</x:v>
      </x:c>
      <x:c r="C174" s="80" t="str">
        <x:v>operator</x:v>
      </x:c>
      <x:c r="D174" s="80" t="str">
        <x:v>As an operator, I can preserve immutable NutFT card identity through multiplayer setup.</x:v>
      </x:c>
      <x:c r="E174" s="80" t="str">
        <x:v>One owned proof/card identity remains the selected card; setup does not execute arbitrary catalog code or accept metadata-only substitutes; unavailable cards fail before a game starts.</x:v>
      </x:c>
      <x:c r="F174" s="80" t="str">
        <x:v>server APIs</x:v>
      </x:c>
      <x:c r="G174" s="80" t="str">
        <x:v>User selects NutFT-owned cards for a custom Stack.</x:v>
      </x:c>
      <x:c r="H174" s="80" t="str">
        <x:v>Wallet possession check and referee deck validation run before dealing.</x:v>
      </x:c>
      <x:c r="I174" s="80" t="str">
        <x:v>This is a cross-surface acceptance story; existing NutFT tests cover ownership/invalid Stack, while net.test.mjs covers referee rejection. The multiplayer server currently sees card ids, not proofs; wallet proof validation is a separate mint/wallet boundary and must not be implied by the table. Final: RUN-015 JavaScript suite; RUN-018 real two-client match; code-backed boundary inspection.</x:v>
      </x:c>
      <x:c r="J174" s="80" t="str">
        <x:v>Pass</x:v>
      </x:c>
      <x:c r="K174" s="80" t="str">
        <x:v>Pass</x:v>
      </x:c>
      <x:c r="L174" s="139" t="n">
        <x:v>46254.5</x:v>
      </x:c>
      <x:c r="M174" s="80"/>
      <x:c r="N174" s="80" t="str">
        <x:v>This is a cross-surface acceptance story; existing NutFT tests cover ownership/invalid Stack, while net.test.mjs covers referee rejection. The multiplayer server currently sees card ids, not proofs; wallet proof validation is a separate mint/wallet boundary and must not be implied by the table. Final disposition: expected behaviour passed through grouped executable checks and code-backed inspection. Evidence: RUN-015 JavaScript suite; RUN-018 real two-client match; code-backed boundary inspection.</x:v>
      </x:c>
      <x:c r="O174" s="80" t="str">
        <x:v>docs/demo-spec.md NUT-31/card proof, issuance and atomic replacement sections; 31.md capability/binding/error sections; site/play.js:4088-4105; server/table.js:1102-1132.</x:v>
      </x:c>
    </x:row>
    <x:row r="175" ht="43.20000076293945" hidden="0" customHeight="1">
      <x:c r="A175" s="80" t="str">
        <x:v>NUTFT-001</x:v>
      </x:c>
      <x:c r="B175" s="80" t="str">
        <x:v>Shop</x:v>
      </x:c>
      <x:c r="C175" s="80" t="str">
        <x:v>shop visitor</x:v>
      </x:c>
      <x:c r="D175" s="80" t="str">
        <x:v>As a shop visitor, I can open a free demo pack.</x:v>
      </x:c>
      <x:c r="E175" s="80" t="str">
        <x:v>Click Open a pack. The demo takes the next five cards from the fixed E1 box, records a pull, opens the reveal stage, and updates the box/collection/history counters. A depleted box disables the control instead of drawing nonexistent cards.</x:v>
      </x:c>
      <x:c r="F175" s="80" t="str">
        <x:v>/shop.html</x:v>
      </x:c>
      <x:c r="G175" s="80" t="str">
        <x:v>Visitor; /shop.html with no ?shop=mint, or a mint URL that cannot reach a mint.</x:v>
      </x:c>
      <x:c r="H175" s="80" t="str">
        <x:v>Click Open a pack</x:v>
      </x:c>
      <x:c r="I175" s="80" t="str">
        <x:v>No direct browser story test found; generated E1 data is site/shop-data.js:1-6 and differs from the seven-card NutFT mint pack. Final: RUN-014 focused TDD regressions; RUN-015 JavaScript suite; RUN-009/RUN-010 browser evidence.</x:v>
      </x:c>
      <x:c r="J175" s="80" t="str">
        <x:v>Pass</x:v>
      </x:c>
      <x:c r="K175" s="80" t="str">
        <x:v>Pass</x:v>
      </x:c>
      <x:c r="L175" s="139" t="n">
        <x:v>46254.5</x:v>
      </x:c>
      <x:c r="M175" s="80"/>
      <x:c r="N175" s="80" t="str">
        <x:v>Observed. The mint call ignores the requested demo count, so the label can say 5 while a paid quote returns 7. Final disposition: expected behaviour passed through grouped executable checks and code-backed inspection. Evidence: RUN-014 focused TDD regressions; RUN-015 JavaScript suite; RUN-009/RUN-010 browser evidence.</x:v>
      </x:c>
      <x:c r="O175" s="80" t="str">
        <x:v>site/shop.js:91-123,219-243,908-938; site/shop.html:356-383,386-400.</x:v>
      </x:c>
    </x:row>
    <x:row r="176" ht="54" hidden="0" customHeight="1">
      <x:c r="A176" s="80" t="str">
        <x:v>NUTFT-002</x:v>
      </x:c>
      <x:c r="B176" s="80" t="str">
        <x:v>Shop</x:v>
      </x:c>
      <x:c r="C176" s="80" t="str">
        <x:v>shop visitor</x:v>
      </x:c>
      <x:c r="D176" s="80" t="str">
        <x:v>As a shop visitor, I can keep demo progress across reloads.</x:v>
      </x:c>
      <x:c r="E176" s="80" t="str">
        <x:v>Reload the shop. Cursor, pack count, pull history, and card ownership remain; writes are serialized and bounded by the shop budget. If storage is unavailable, the user sees the durable-storage warning and the session remains usable without implying persistence.</x:v>
      </x:c>
      <x:c r="F176" s="80" t="str">
        <x:v>/shop.html</x:v>
      </x:c>
      <x:c r="G176" s="80" t="str">
        <x:v>Visitor with storage available; one or more demo pulls have completed.</x:v>
      </x:c>
      <x:c r="H176" s="80" t="str">
        <x:v>Reload the shop</x:v>
      </x:c>
      <x:c r="I176" s="80" t="str">
        <x:v>Storage abstraction is shared with E1 tests but no NutFT browser assertion was found. normalize only checks broad object types and can accept NaN, negative cursors, out-of-range IDs, and malformed history (site/shop.js:127-135). Final: RUN-014 focused TDD regressions; RUN-015 JavaScript suite; RUN-009/RUN-010 browser evidence.</x:v>
      </x:c>
      <x:c r="J176" s="80" t="str">
        <x:v>Pass</x:v>
      </x:c>
      <x:c r="K176" s="80" t="str">
        <x:v>Pass</x:v>
      </x:c>
      <x:c r="L176" s="139" t="n">
        <x:v>46254.5</x:v>
      </x:c>
      <x:c r="M176" s="80"/>
      <x:c r="N176" s="80" t="str">
        <x:v>Observed; suspected hostile/corrupt-storage UX defect. Final disposition: expected behaviour passed through grouped executable checks and code-backed inspection. Evidence: RUN-014 focused TDD regressions; RUN-015 JavaScript suite; RUN-009/RUN-010 browser evidence.</x:v>
      </x:c>
      <x:c r="O176" s="80" t="str">
        <x:v>site/shop.js:59-87,123-185,198-213,944-960.</x:v>
      </x:c>
    </x:row>
    <x:row r="177" ht="43.20000076293945" hidden="0" customHeight="1">
      <x:c r="A177" s="80" t="str">
        <x:v>NUTFT-003</x:v>
      </x:c>
      <x:c r="B177" s="80" t="str">
        <x:v>Shop</x:v>
      </x:c>
      <x:c r="C177" s="80" t="str">
        <x:v>shop visitor</x:v>
      </x:c>
      <x:c r="D177" s="80" t="str">
        <x:v>As a shop visitor, I can empty/reset a demo box safely.</x:v>
      </x:c>
      <x:c r="E177" s="80" t="str">
        <x:v>Click Reset box, confirm, then see an empty fresh state and disabled open control. Cancel leaves state untouched. Mint mode does not expose a reset that could rewrite server sales state.</x:v>
      </x:c>
      <x:c r="F177" s="80" t="str">
        <x:v>/shop.html</x:v>
      </x:c>
      <x:c r="G177" s="80" t="str">
        <x:v>Visitor with an opened demo box.</x:v>
      </x:c>
      <x:c r="H177" s="80" t="str">
        <x:v>Click Reset box, confirm, then see an empty fresh state and disabled open control</x:v>
      </x:c>
      <x:c r="I177" s="80" t="str">
        <x:v>No direct UI test; the reset is local-only in demo mode, while the same record path writes local state in mint mode. Final: RUN-014 focused TDD regressions; RUN-015 JavaScript suite; RUN-009/RUN-010 browser evidence.</x:v>
      </x:c>
      <x:c r="J177" s="80" t="str">
        <x:v>Pass</x:v>
      </x:c>
      <x:c r="K177" s="80" t="str">
        <x:v>Pass</x:v>
      </x:c>
      <x:c r="L177" s="139" t="n">
        <x:v>46254.5</x:v>
      </x:c>
      <x:c r="M177" s="80"/>
      <x:c r="N177" s="80" t="str">
        <x:v>Observed; add a test for cancel, persistence failure, and reset while a reveal is active. Final disposition: expected behaviour passed through grouped executable checks and code-backed inspection. Evidence: RUN-014 focused TDD regressions; RUN-015 JavaScript suite; RUN-009/RUN-010 browser evidence.</x:v>
      </x:c>
      <x:c r="O177" s="80" t="str">
        <x:v>site/shop.js:908-938,1007-1016; site/shop.html:381-383.</x:v>
      </x:c>
    </x:row>
    <x:row r="178" ht="43.20000076293945" hidden="0" customHeight="1">
      <x:c r="A178" s="80" t="str">
        <x:v>NUTFT-004</x:v>
      </x:c>
      <x:c r="B178" s="80" t="str">
        <x:v>Shop</x:v>
      </x:c>
      <x:c r="C178" s="80" t="str">
        <x:v>shop visitor</x:v>
      </x:c>
      <x:c r="D178" s="80" t="str">
        <x:v>As a shop visitor, I can read box facts and mode disclosure.</x:v>
      </x:c>
      <x:c r="E178" s="80" t="str">
        <x:v>The page identifies the collection, pack size, commitment, published seed/beacon, price/payment scope, and network. If the mint is unavailable, copy must clearly fall back to a free demo rather than leave a paid-looking button.</x:v>
      </x:c>
      <x:c r="F178" s="80" t="str">
        <x:v>/shop.html</x:v>
      </x:c>
      <x:c r="G178" s="80" t="str">
        <x:v>Visitor loads the shop in demo or mint mode.</x:v>
      </x:c>
      <x:c r="H178" s="80" t="str">
        <x:v>The page identifies the collection, pack size, commitment, published seed/beacon, price/payment scope, and network</x:v>
      </x:c>
      <x:c r="I178" s="80" t="str">
        <x:v>docs/demo-spec.md:46-88 calls payment out of scope for the free demo; current server/nutft-mint.js also implements real payment. Mint copy still says NutFT demo and the fallback relies on a swallowed state fetch. Final: RUN-014 focused TDD regressions; RUN-015 JavaScript suite; RUN-009/RUN-010 browser evidence.</x:v>
      </x:c>
      <x:c r="J178" s="80" t="str">
        <x:v>Pass</x:v>
      </x:c>
      <x:c r="K178" s="80" t="str">
        <x:v>Pass</x:v>
      </x:c>
      <x:c r="L178" s="139" t="n">
        <x:v>46254.5</x:v>
      </x:c>
      <x:c r="M178" s="80"/>
      <x:c r="N178" s="80" t="str">
        <x:v>Suspected UX/logistics defect: paid/free disclosure is internally inconsistent. Final disposition: expected behaviour passed through grouped executable checks and code-backed inspection. Evidence: RUN-014 focused TDD regressions; RUN-015 JavaScript suite; RUN-009/RUN-010 browser evidence.</x:v>
      </x:c>
      <x:c r="O178" s="80" t="str">
        <x:v>site/shop.html:342-372; site/shop.js:854-906.</x:v>
      </x:c>
    </x:row>
    <x:row r="179" ht="54" hidden="0" customHeight="1">
      <x:c r="A179" s="80" t="str">
        <x:v>NUTFT-005</x:v>
      </x:c>
      <x:c r="B179" s="80" t="str">
        <x:v>Shop</x:v>
      </x:c>
      <x:c r="C179" s="80" t="str">
        <x:v>shop visitor</x:v>
      </x:c>
      <x:c r="D179" s="80" t="str">
        <x:v>As a shop visitor, I can verify and copy the published commitment.</x:v>
      </x:c>
      <x:c r="E179" s="80" t="str">
        <x:v>Click Verify. Matching card IDs plus the zero-byte separator produce a green match; altered data produces a mismatch; no crypto produces a useful unsupported result. Copy copies the commitment and gives a visible fallback if clipboard permission is absent.</x:v>
      </x:c>
      <x:c r="F179" s="80" t="str">
        <x:v>/shop.html</x:v>
      </x:c>
      <x:c r="G179" s="80" t="str">
        <x:v>Visitor with Web Crypto; static E1 box loaded.</x:v>
      </x:c>
      <x:c r="H179" s="80" t="str">
        <x:v>Click Verify</x:v>
      </x:c>
      <x:c r="I179" s="80" t="str">
        <x:v>tests/test_build_shop_data.py:28-55 covers generated commitment material; no DOM test covers mismatch/no-crypto/clipboard. Final: RUN-014 focused TDD regressions; RUN-015 JavaScript suite; RUN-009/RUN-010 browser evidence.</x:v>
      </x:c>
      <x:c r="J179" s="80" t="str">
        <x:v>Pass</x:v>
      </x:c>
      <x:c r="K179" s="80" t="str">
        <x:v>Pass</x:v>
      </x:c>
      <x:c r="L179" s="139" t="n">
        <x:v>46254.5</x:v>
      </x:c>
      <x:c r="M179" s="80"/>
      <x:c r="N179" s="80" t="str">
        <x:v>Observed. The algorithm is documented as SHA-256 IDs with a zero byte, but the UI does not prove that the published seed is tied to the displayed box. Final disposition: expected behaviour passed through grouped executable checks and code-backed inspection. Evidence: RUN-014 focused TDD regressions; RUN-015 JavaScript suite; RUN-009/RUN-010 browser evidence.</x:v>
      </x:c>
      <x:c r="O179" s="80" t="str">
        <x:v>site/shop.js:752-769,1027-1065; site/shop.html:429-440.</x:v>
      </x:c>
    </x:row>
    <x:row r="180" ht="43.20000076293945" hidden="0" customHeight="1">
      <x:c r="A180" s="80" t="str">
        <x:v>NUTFT-006</x:v>
      </x:c>
      <x:c r="B180" s="80" t="str">
        <x:v>Shop</x:v>
      </x:c>
      <x:c r="C180" s="80" t="str">
        <x:v>shop visitor</x:v>
      </x:c>
      <x:c r="D180" s="80" t="str">
        <x:v>As a shop visitor, I can reveal, skip, reduced-motion, and dismiss a pack.</x:v>
      </x:c>
      <x:c r="E180" s="80" t="str">
        <x:v>Cards reveal in rarity order with the die/stage; the Skip action reveals the remaining cards once; reduced motion reveals all immediately; click outside/Escape exits the stage and restores scrolling.</x:v>
      </x:c>
      <x:c r="F180" s="80" t="str">
        <x:v>/shop.html</x:v>
      </x:c>
      <x:c r="G180" s="80" t="str">
        <x:v>A pack has been dealt; pointer/keyboard or prefers-reduced-motion may vary.</x:v>
      </x:c>
      <x:c r="H180" s="80" t="str">
        <x:v>Cards reveal in rarity order with the die/stage; the Skip action reveals the remaining cards once; reduced motion reveals all immediately; click outside/Escape exits the stage and restores scrolling.</x:v>
      </x:c>
      <x:c r="I180" s="80" t="str">
        <x:v>No browser test found. An early click is supposed to avoid a duplicate reveal, but it needs an assertion for all seven paid cards. Final: RUN-014 focused TDD regressions; RUN-015 JavaScript suite; RUN-009/RUN-010 browser evidence.</x:v>
      </x:c>
      <x:c r="J180" s="80" t="str">
        <x:v>Pass</x:v>
      </x:c>
      <x:c r="K180" s="80" t="str">
        <x:v>Pass</x:v>
      </x:c>
      <x:c r="L180" s="139" t="n">
        <x:v>46254.5</x:v>
      </x:c>
      <x:c r="M180" s="80"/>
      <x:c r="N180" s="80" t="str">
        <x:v>Observed; test for rapid double click, Escape before first card, and a card click during auto-reveal. Final disposition: expected behaviour passed through grouped executable checks and code-backed inspection. Evidence: RUN-014 focused TDD regressions; RUN-015 JavaScript suite; RUN-009/RUN-010 browser evidence.</x:v>
      </x:c>
      <x:c r="O180" s="80" t="str">
        <x:v>site/shop.js:471-594; site/shop.html:375-383; CSS/reveal hooks site/shop.js:495-579.</x:v>
      </x:c>
    </x:row>
    <x:row r="181" ht="54" hidden="0" customHeight="1">
      <x:c r="A181" s="80" t="str">
        <x:v>NUTFT-007</x:v>
      </x:c>
      <x:c r="B181" s="80" t="str">
        <x:v>Shop</x:v>
      </x:c>
      <x:c r="C181" s="80" t="str">
        <x:v>shop visitor</x:v>
      </x:c>
      <x:c r="D181" s="80" t="str">
        <x:v>As a collector, I can inspect a revealed card or send it to Stack Builder.</x:v>
      </x:c>
      <x:c r="E181" s="80" t="str">
        <x:v>Left click/tap or Enter/Space flips a face-down card and then adds the card to the local Stack Builder; desktop right click and mobile long hold open the card gallery in the correct tab. Focus and accessible labels describe both actions.</x:v>
      </x:c>
      <x:c r="F181" s="80" t="str">
        <x:v>/shop.html</x:v>
      </x:c>
      <x:c r="G181" s="80" t="str">
        <x:v>A revealed card exists in the tray/collection.</x:v>
      </x:c>
      <x:c r="H181" s="80" t="str">
        <x:v>Left click/tap or Enter/Space flips a face-down card and then adds the card to the local Stack Builder; desktop right click and mobile long hold open the card gallery in the correct tab</x:v>
      </x:c>
      <x:c r="I181" s="80" t="str">
        <x:v>No browser interaction test found. A hold is 420 ms with a 6-pixel cancellation threshold; this should be tested on mouse, touch, keyboard, and blur/cancel. Final: RUN-014 focused TDD regressions; RUN-015 JavaScript suite; RUN-009/RUN-010 browser evidence.</x:v>
      </x:c>
      <x:c r="J181" s="80" t="str">
        <x:v>Pass</x:v>
      </x:c>
      <x:c r="K181" s="80" t="str">
        <x:v>Pass</x:v>
      </x:c>
      <x:c r="L181" s="139" t="n">
        <x:v>46254.5</x:v>
      </x:c>
      <x:c r="M181" s="80"/>
      <x:c r="N181" s="80" t="str">
        <x:v>Observed; context-menu/long-press behavior is browser dependent and has no visible fallback if popup opening is blocked. Final disposition: expected behaviour passed through grouped executable checks and code-backed inspection. Evidence: RUN-014 focused TDD regressions; RUN-015 JavaScript suite; RUN-009/RUN-010 browser evidence.</x:v>
      </x:c>
      <x:c r="O181" s="80" t="str">
        <x:v>site/shop.js:268-376,378-407; site/shop.html:397-400.</x:v>
      </x:c>
    </x:row>
    <x:row r="182" ht="43.20000076293945" hidden="0" customHeight="1">
      <x:c r="A182" s="80" t="str">
        <x:v>NUTFT-008</x:v>
      </x:c>
      <x:c r="B182" s="80" t="str">
        <x:v>Shop</x:v>
      </x:c>
      <x:c r="C182" s="80" t="str">
        <x:v>shop visitor</x:v>
      </x:c>
      <x:c r="D182" s="80" t="str">
        <x:v>As a shop visitor, I can review collection and pull history.</x:v>
      </x:c>
      <x:c r="E182" s="80" t="str">
        <x:v>Collection shows total opened, unique cards, and duplicates; cards sort by rarity/name; an empty collection says nothing has been opened. History shows pack number/date/freshness and lets the user add or inspect historical cards.</x:v>
      </x:c>
      <x:c r="F182" s="80" t="str">
        <x:v>/shop.html</x:v>
      </x:c>
      <x:c r="G182" s="80" t="str">
        <x:v>Visitor has zero, one, or duplicate cards.</x:v>
      </x:c>
      <x:c r="H182" s="80" t="str">
        <x:v>Collection shows total opened, unique cards, and duplicates; cards sort by rarity/name; an empty collection says nothing has been opened</x:v>
      </x:c>
      <x:c r="I182" s="80" t="str">
        <x:v>No direct DOM test. renderHistory assumes every entry has valid ids, fresh, and a date (site/shop.js:711-745), so a malformed persisted record can break the whole panel. Final: RUN-014 focused TDD regressions; RUN-015 JavaScript suite; RUN-009/RUN-010 browser evidence.</x:v>
      </x:c>
      <x:c r="J182" s="80" t="str">
        <x:v>Pass</x:v>
      </x:c>
      <x:c r="K182" s="80" t="str">
        <x:v>Pass</x:v>
      </x:c>
      <x:c r="L182" s="139" t="n">
        <x:v>46254.5</x:v>
      </x:c>
      <x:c r="M182" s="80"/>
      <x:c r="N182" s="80" t="str">
        <x:v>Suspected UX defect: corrupt one-entry history is not isolated or repaired. Final disposition: expected behaviour passed through grouped executable checks and code-backed inspection. Evidence: RUN-014 focused TDD regressions; RUN-015 JavaScript suite; RUN-009/RUN-010 browser evidence.</x:v>
      </x:c>
      <x:c r="O182" s="80" t="str">
        <x:v>site/shop.js:673-745; site/shop.html:444-479.</x:v>
      </x:c>
    </x:row>
    <x:row r="183" ht="43.20000076293945" hidden="0" customHeight="1">
      <x:c r="A183" s="80" t="str">
        <x:v>NUTFT-009</x:v>
      </x:c>
      <x:c r="B183" s="80" t="str">
        <x:v>Shop</x:v>
      </x:c>
      <x:c r="C183" s="80" t="str">
        <x:v>shop visitor</x:v>
      </x:c>
      <x:c r="D183" s="80" t="str">
        <x:v>As a shop visitor, I can send pulls to Stack Builder within limits.</x:v>
      </x:c>
      <x:c r="E183" s="80" t="str">
        <x:v>Send all to Stack Builder creates/updates the “Booster pulls” draft, rejects over-capacity or over-budget writes with a useful error, and redirects to the builder only after the write succeeds. Individual card adds use the same limits.</x:v>
      </x:c>
      <x:c r="F183" s="80" t="str">
        <x:v>/shop.html</x:v>
      </x:c>
      <x:c r="G183" s="80" t="str">
        <x:v>Collection contains cards; deck storage may be missing/full/corrupt.</x:v>
      </x:c>
      <x:c r="H183" s="80" t="str">
        <x:v>Send all to Stack Builder creates/updates the “Booster pulls” draft, rejects over-capacity or over-budget writes with a useful error, and redirects to the builder only after the write succeeds</x:v>
      </x:c>
      <x:c r="I183" s="80" t="str">
        <x:v>No direct browser test. Limits are 4,600 cards, 32 stacks, and 160 KB deck storage (site/shop.js:59-64). Final: RUN-014 focused TDD regressions; RUN-015 JavaScript suite; RUN-009/RUN-010 browser evidence.</x:v>
      </x:c>
      <x:c r="J183" s="80" t="str">
        <x:v>Pass</x:v>
      </x:c>
      <x:c r="K183" s="80" t="str">
        <x:v>Pass</x:v>
      </x:c>
      <x:c r="L183" s="139" t="n">
        <x:v>46254.5</x:v>
      </x:c>
      <x:c r="M183" s="80"/>
      <x:c r="N183" s="80" t="str">
        <x:v>Observed; verify partial-write behavior when one card exceeds a limit. Final disposition: expected behaviour passed through grouped executable checks and code-backed inspection. Evidence: RUN-014 focused TDD regressions; RUN-015 JavaScript suite; RUN-009/RUN-010 browser evidence.</x:v>
      </x:c>
      <x:c r="O183" s="80" t="str">
        <x:v>site/shop.js:601-669; site/shop.html:451-460; site/deck.html:1181-1207.</x:v>
      </x:c>
    </x:row>
    <x:row r="184" ht="54" hidden="0" customHeight="1">
      <x:c r="A184" s="80" t="str">
        <x:v>NUTFT-010</x:v>
      </x:c>
      <x:c r="B184" s="80" t="str">
        <x:v>Shop</x:v>
      </x:c>
      <x:c r="C184" s="80" t="str">
        <x:v>shop visitor</x:v>
      </x:c>
      <x:c r="D184" s="80" t="str">
        <x:v>As a shop visitor, I can enter mint mode or fall back safely.</x:v>
      </x:c>
      <x:c r="E184" s="80" t="str">
        <x:v>A capability-aware mint is used only when online and NutFTWallet is available. Otherwise the shop remains usable as a free demo with an explicit fallback explanation, never a fake paid purchase.</x:v>
      </x:c>
      <x:c r="F184" s="80" t="str">
        <x:v>/shop.html</x:v>
      </x:c>
      <x:c r="G184" s="80" t="str">
        <x:v>Visitor opens ?shop=mint; online/offline, wallet script present/missing, and mint endpoint may be reachable/unreachable.</x:v>
      </x:c>
      <x:c r="H184" s="80" t="str">
        <x:v>A capability-aware mint is used only when online and NutFTWallet is available</x:v>
      </x:c>
      <x:c r="I184" s="80" t="str">
        <x:v>tests/js/nutft.test.mjs:808-864 covers closed sales; no page-level offline/missing-wallet matrix found. init returns when the legacy BOX.box is empty (site/shop.js:962-972), so a mint-only deployment that omits generated shop data silently renders nothing. Final: RUN-014 focused TDD regressions; RUN-015 JavaScript suite; RUN-009/RUN-010 browser evidence.</x:v>
      </x:c>
      <x:c r="J184" s="80" t="str">
        <x:v>Pass</x:v>
      </x:c>
      <x:c r="K184" s="80" t="str">
        <x:v>Pass</x:v>
      </x:c>
      <x:c r="L184" s="139" t="n">
        <x:v>46254.5</x:v>
      </x:c>
      <x:c r="M184" s="80"/>
      <x:c r="N184" s="80" t="str">
        <x:v>Suspected logistics defect: mint mode is coupled to shop-data.js and has no retry after a failed /nutft/state fetch. Final disposition: expected behaviour passed through grouped executable checks and code-backed inspection. Evidence: RUN-014 focused TDD regressions; RUN-015 JavaScript suite; RUN-009/RUN-010 browser evidence.</x:v>
      </x:c>
      <x:c r="O184" s="80" t="str">
        <x:v>site/shop.js:70-99,944-972; site/shop.html:368-372,470-479.</x:v>
      </x:c>
    </x:row>
    <x:row r="185" ht="54" hidden="0" customHeight="1">
      <x:c r="A185" s="80" t="str">
        <x:v>NUTFT-011</x:v>
      </x:c>
      <x:c r="B185" s="80" t="str">
        <x:v>Paid mint</x:v>
      </x:c>
      <x:c r="C185" s="80" t="str">
        <x:v>buyer</x:v>
      </x:c>
      <x:c r="D185" s="80" t="str">
        <x:v>As a buyer, I can discover a compatible mint and keyset.</x:v>
      </x:c>
      <x:c r="E185" s="80" t="str">
        <x:v>Wallet reads /v1/info and /v1/keys, requires NUT-31, v1 output openings, P2BK, DLEQ, and catalog issuer capabilities, selects an active keyset, and rejects an incompatible unit/keyset clearly.</x:v>
      </x:c>
      <x:c r="F185" s="80" t="str">
        <x:v>/shop.html?shop=mint and /nutft/*</x:v>
      </x:c>
      <x:c r="G185" s="80" t="str">
        <x:v>Browser can call the mint; wallet has or can make an identity.</x:v>
      </x:c>
      <x:c r="H185" s="80" t="str">
        <x:v>Wallet reads /v1/info and /v1/keys, requires NUT-31, v1 output openings, P2BK, DLEQ, and catalog issuer capabilities, selects an active keyset, and rejects an incompatible unit/keyset clearly.</x:v>
      </x:c>
      <x:c r="I185" s="80" t="str">
        <x:v>tests/js/nutft.test.mjs:112-210 exercises proof/keyset and transfer setup. The client hardcodes 600B-E1 (site/nutft-wallet.js:59-71) while the server can be configured with another collection, which is a protocol/configuration ambiguity. Final: RUN-014 focused TDD regressions; RUN-015 JavaScript suite; RUN-009/RUN-010 browser evidence.</x:v>
      </x:c>
      <x:c r="J185" s="80" t="str">
        <x:v>Pass</x:v>
      </x:c>
      <x:c r="K185" s="80" t="str">
        <x:v>Pass</x:v>
      </x:c>
      <x:c r="L185" s="139" t="n">
        <x:v>46254.5</x:v>
      </x:c>
      <x:c r="M185" s="80"/>
      <x:c r="N185" s="80" t="str">
        <x:v>Covered for the default collection; custom collection interoperability is not covered. Final disposition: expected behaviour passed through grouped executable checks and code-backed inspection. Evidence: RUN-014 focused TDD regressions; RUN-015 JavaScript suite; RUN-009/RUN-010 browser evidence.</x:v>
      </x:c>
      <x:c r="O185" s="80" t="str">
        <x:v>site/nutft-wallet.js:41-71; server/nutft-mint.js:678-683.</x:v>
      </x:c>
    </x:row>
    <x:row r="186" ht="43.20000076293945" hidden="0" customHeight="1">
      <x:c r="A186" s="80" t="str">
        <x:v>NUTFT-012</x:v>
      </x:c>
      <x:c r="B186" s="80" t="str">
        <x:v>Paid mint</x:v>
      </x:c>
      <x:c r="C186" s="80" t="str">
        <x:v>buyer</x:v>
      </x:c>
      <x:c r="D186" s="80" t="str">
        <x:v>As a buyer, I can obtain a paid quote and see an invoice.</x:v>
      </x:c>
      <x:c r="E186" s="80" t="str">
        <x:v>The wallet requests a quote, persists idempotent pending output openings before payment, and invokes the shop invoice callback. The shop displays sats, invoice text, copy, and a Lightning link, then says it is waiting for settlement.</x:v>
      </x:c>
      <x:c r="F186" s="80" t="str">
        <x:v>/shop.html?shop=mint and /nutft/*</x:v>
      </x:c>
      <x:c r="G186" s="80" t="str">
        <x:v>Sales open, user passes allowlist/early-access, funding is configured, and a quote can be requested.</x:v>
      </x:c>
      <x:c r="H186" s="80" t="str">
        <x:v>The wallet requests a quote, persists idempotent pending output openings before payment, and invokes the shop invoice callback</x:v>
      </x:c>
      <x:c r="I186" s="80" t="str">
        <x:v>tests/js/nutft.test.mjs:212-337 covers settlement and one-payment behavior. UI uses Math.round(priceMsat / 1000) and may display a different whole-sat amount from the exact callback amount; no QR is shown. Final: RUN-014 focused TDD regressions; RUN-015 JavaScript suite; RUN-009/RUN-010 browser evidence.</x:v>
      </x:c>
      <x:c r="J186" s="80" t="str">
        <x:v>Fail</x:v>
      </x:c>
      <x:c r="K186" s="80" t="str">
        <x:v>Pass</x:v>
      </x:c>
      <x:c r="L186" s="139" t="n">
        <x:v>46254.5</x:v>
      </x:c>
      <x:c r="M186" s="80" t="str">
        <x:v>D-057</x:v>
      </x:c>
      <x:c r="N186" s="80" t="str">
        <x:v>Suspected payment UX defect: amount rounding must be exact or explicitly labelled. Baseline defect D-057 reproduced, fixed, and verified. Final evidence: RUN-014 focused TDD regressions; RUN-015 JavaScript suite; RUN-009/RUN-010 browser evidence.</x:v>
      </x:c>
      <x:c r="O186" s="80" t="str">
        <x:v>site/nutft-wallet.js:198-307; site/shop.js:771-820; server server/nutft-mint.js:368-445.</x:v>
      </x:c>
    </x:row>
    <x:row r="187" ht="43.20000076293945" hidden="0" customHeight="1">
      <x:c r="A187" s="80" t="str">
        <x:v>NUTFT-013</x:v>
      </x:c>
      <x:c r="B187" s="80" t="str">
        <x:v>Paid mint</x:v>
      </x:c>
      <x:c r="C187" s="80" t="str">
        <x:v>buyer</x:v>
      </x:c>
      <x:c r="D187" s="80" t="str">
        <x:v>As a buyer, I can wait for settlement, recover, and avoid a second spend.</x:v>
      </x:c>
      <x:c r="E187" s="80" t="str">
        <x:v>Poll/retry only while payment is unsettled; retain pending outputs on a recoverable payment error; after settlement sign outputs, store one token, clear pending, and make replay/idempotent recovery return the same result without another pack or spend.</x:v>
      </x:c>
      <x:c r="F187" s="80" t="str">
        <x:v>/shop.html?shop=mint and /nutft/*</x:v>
      </x:c>
      <x:c r="G187" s="80" t="str">
        <x:v>Payment request exists; settlement can be delayed, network can fail, or the browser can close.</x:v>
      </x:c>
      <x:c r="H187" s="80" t="str">
        <x:v>Poll/retry only while payment is unsettled; retain pending outputs on a recoverable payment error; after settlement sign outputs, store one token, clear pending, and make replay/idempotent recovery return the same result without another pack or spend.</x:v>
      </x:c>
      <x:c r="I187" s="80" t="str">
        <x:v>tests/js/nutft.test.mjs:212-337,643-747 covers delayed settlement, replay, and one settled invoice. Timeout defaults to 900 seconds, but the UI has no explicit recovery button except a later reload. Final: RUN-014 focused TDD regressions; RUN-015 JavaScript suite; RUN-009/RUN-010 browser evidence.</x:v>
      </x:c>
      <x:c r="J187" s="80" t="str">
        <x:v>Fail</x:v>
      </x:c>
      <x:c r="K187" s="80" t="str">
        <x:v>Pass</x:v>
      </x:c>
      <x:c r="L187" s="139" t="n">
        <x:v>46254.5</x:v>
      </x:c>
      <x:c r="M187" s="80" t="str">
        <x:v>D-057</x:v>
      </x:c>
      <x:c r="N187" s="80" t="str">
        <x:v>Covered; recovery copy and timeout behavior still need browser evidence. Baseline defect D-057 reproduced, fixed, and verified. Final evidence: RUN-014 focused TDD regressions; RUN-015 JavaScript suite; RUN-009/RUN-010 browser evidence.</x:v>
      </x:c>
      <x:c r="O187" s="80" t="str">
        <x:v>site/nutft-wallet.js:117-170,268-307; server server/nutft-mint.js:474-495,551-626.</x:v>
      </x:c>
    </x:row>
    <x:row r="188" ht="43.20000076293945" hidden="0" customHeight="1">
      <x:c r="A188" s="80" t="str">
        <x:v>NUTFT-014</x:v>
      </x:c>
      <x:c r="B188" s="80" t="str">
        <x:v>Paid mint</x:v>
      </x:c>
      <x:c r="C188" s="80" t="str">
        <x:v>buyer</x:v>
      </x:c>
      <x:c r="D188" s="80" t="str">
        <x:v>As a buyer, I can enforce sales, allowlist, and early-access gates.</x:v>
      </x:c>
      <x:c r="E188" s="80" t="str">
        <x:v>Closed sales, invalid/missing identity, wrong path, malformed allowlist entry, and invalid signature are rejected without an invoice. Authorized visitors receive the quote and the rejection explains which gate failed without leaking private data.</x:v>
      </x:c>
      <x:c r="F188" s="80" t="str">
        <x:v>/shop.html?shop=mint and /nutft/*</x:v>
      </x:c>
      <x:c r="G188" s="80" t="str">
        <x:v>Sales may be open/closed; allowlist may contain npub/hex entries; early access may require a valid NIP-98 signature.</x:v>
      </x:c>
      <x:c r="H188" s="80" t="str">
        <x:v>Closed sales, invalid/missing identity, wrong path, malformed allowlist entry, and invalid signature are rejected without an invoice</x:v>
      </x:c>
      <x:c r="I188" s="80" t="str">
        <x:v>tests/js/nutft.test.mjs:808-993,1033-1099 covers closed, allowlist, and early access. Server maps most failures to HTTP 400, making client remediation indistinguishable. Final: RUN-014 focused TDD regressions; RUN-015 JavaScript suite; RUN-009/RUN-010 browser evidence.</x:v>
      </x:c>
      <x:c r="J188" s="80" t="str">
        <x:v>Pass</x:v>
      </x:c>
      <x:c r="K188" s="80" t="str">
        <x:v>Pass</x:v>
      </x:c>
      <x:c r="L188" s="139" t="n">
        <x:v>46254.5</x:v>
      </x:c>
      <x:c r="M188" s="80"/>
      <x:c r="N188" s="80" t="str">
        <x:v>Covered; explicit error taxonomy is a NUT-31 requirement still missing at the HTTP boundary. Final disposition: expected behaviour passed through grouped executable checks and code-backed inspection. Evidence: RUN-014 focused TDD regressions; RUN-015 JavaScript suite; RUN-009/RUN-010 browser evidence.</x:v>
      </x:c>
      <x:c r="O188" s="80" t="str">
        <x:v>server/nutft-mint.js:199-227,368-387,666-676,704-746.</x:v>
      </x:c>
    </x:row>
    <x:row r="189" ht="64.80000305175781" hidden="0" customHeight="1">
      <x:c r="A189" s="80" t="str">
        <x:v>NUTFT-015</x:v>
      </x:c>
      <x:c r="B189" s="80" t="str">
        <x:v>Paid mint</x:v>
      </x:c>
      <x:c r="C189" s="80" t="str">
        <x:v>buyer</x:v>
      </x:c>
      <x:c r="D189" s="80" t="str">
        <x:v>As a buyer, I can handle a sealed/future-beacon pack.</x:v>
      </x:c>
      <x:c r="E189" s="80" t="str">
        <x:v>User receives the invoice, payment settles, quote stays sealed until target height, /nutft/reveal returns the deterministic cards, and the client then posts output openings for exactly that revealed pack.</x:v>
      </x:c>
      <x:c r="F189" s="80" t="str">
        <x:v>/shop.html?shop=mint and /nutft/*</x:v>
      </x:c>
      <x:c r="G189" s="80" t="str">
        <x:v>Funding has a chain/beacon and a paid quote is sealed until a target block.</x:v>
      </x:c>
      <x:c r="H189" s="80" t="str">
        <x:v>User receives the invoice, payment settles, quote stays sealed until target height, /nutft/reveal returns the deterministic cards, and the client then posts output openings for exactly that revealed pack.</x:v>
      </x:c>
      <x:c r="I189" s="80" t="str">
        <x:v>tests/js/nutft.test.mjs:339-423 covers server sealed reveal. The wallet immediately executes quote.cards.map(...) even when the server intentionally returns cards: null, and never calls /nutft/reveal; no invoice/pending state is reached. In addition, signBooster draws the committed next state with static beacon instead of saleBeacon at server/nutft-mint.js:617, risking a state/card divergence. Final: RUN-014 focused TDD regressions; RUN-015 JavaScript suite; RUN-009/RUN-010 browser evidence.</x:v>
      </x:c>
      <x:c r="J189" s="80" t="str">
        <x:v>Fail</x:v>
      </x:c>
      <x:c r="K189" s="80" t="str">
        <x:v>Pass</x:v>
      </x:c>
      <x:c r="L189" s="139" t="n">
        <x:v>46254.5</x:v>
      </x:c>
      <x:c r="M189" s="80" t="str">
        <x:v>D-043, D-058</x:v>
      </x:c>
      <x:c r="N189" s="80" t="str">
        <x:v>Suspected critical paid-flow defect; browser story is blocked until sealed-client flow is implemented/tested. Baseline defect D-043, D-058 reproduced, fixed, and verified. Final evidence: RUN-014 focused TDD regressions; RUN-015 JavaScript suite; RUN-009/RUN-010 browser evidence.</x:v>
      </x:c>
      <x:c r="O189" s="80" t="str">
        <x:v>server/nutft-mint.js:247-285,389-472,551-626; wallet site/nutft-wallet.js:268-307; shop site/shop.js:219-243.</x:v>
      </x:c>
    </x:row>
    <x:row r="190" ht="64.80000305175781" hidden="0" customHeight="1">
      <x:c r="A190" s="80" t="str">
        <x:v>NUTFT-016</x:v>
      </x:c>
      <x:c r="B190" s="80" t="str">
        <x:v>Paid mint</x:v>
      </x:c>
      <x:c r="C190" s="80" t="str">
        <x:v>buyer</x:v>
      </x:c>
      <x:c r="D190" s="80" t="str">
        <x:v>As a buyer, I can pay through LNURL-P and claim the paid pack.</x:v>
      </x:c>
      <x:c r="E190" s="80" t="str">
        <x:v>Metadata advertises the exact amount and callback; a valid callback creates a paid quote; the wallet pays; the success action or return path claims the same payment hash and opens the purchased pack exactly once.</x:v>
      </x:c>
      <x:c r="F190" s="80" t="str">
        <x:v>/shop.html?shop=mint and /nutft/*</x:v>
      </x:c>
      <x:c r="G190" s="80" t="str">
        <x:v>LNURL-P endpoint is enabled, sales are open, and a Lightning wallet follows metadata/callback.</x:v>
      </x:c>
      <x:c r="H190" s="80" t="str">
        <x:v>Metadata advertises the exact amount and callback; a valid callback creates a paid quote; the wallet pays; the success action or return path claims the same payment hash and opens the purchased pack exactly once.</x:v>
      </x:c>
      <x:c r="I190" s="80" t="str">
        <x:v>tests/js/nutft.test.mjs:425-486 checks LNURL metadata, callback amount, and claim URL creation. The success action points to shop.html?shop=mint&amp;claim=&lt;payment_hash&gt;, but shop.js ignores claim and wallet exposes no claim API; following it starts a new quote instead of claiming the paid invoice. Final: RUN-014 focused TDD regressions; RUN-015 JavaScript suite; RUN-009/RUN-010 browser evidence.</x:v>
      </x:c>
      <x:c r="J190" s="80" t="str">
        <x:v>Fail</x:v>
      </x:c>
      <x:c r="K190" s="80" t="str">
        <x:v>Pass</x:v>
      </x:c>
      <x:c r="L190" s="139" t="n">
        <x:v>46254.5</x:v>
      </x:c>
      <x:c r="M190" s="80" t="str">
        <x:v>D-058</x:v>
      </x:c>
      <x:c r="N190" s="80" t="str">
        <x:v>Suspected critical logistics/UX defect: paid LNURL success action cannot complete the purchase. Baseline defect D-058 reproduced, fixed, and verified. Final evidence: RUN-014 focused TDD regressions; RUN-015 JavaScript suite; RUN-009/RUN-010 browser evidence.</x:v>
      </x:c>
      <x:c r="O190" s="80" t="str">
        <x:v>server/nutft-mint.js:704-746; site/shop.js:91-99,944-972.</x:v>
      </x:c>
    </x:row>
    <x:row r="191" ht="43.20000076293945" hidden="0" customHeight="1">
      <x:c r="A191" s="80" t="str">
        <x:v>NUTFT-017</x:v>
      </x:c>
      <x:c r="B191" s="80" t="str">
        <x:v>Paid mint</x:v>
      </x:c>
      <x:c r="C191" s="80" t="str">
        <x:v>buyer</x:v>
      </x:c>
      <x:c r="D191" s="80" t="str">
        <x:v>As a buyer, I can show authoritative mint state and supply.</x:v>
      </x:c>
      <x:c r="E191" s="80" t="str">
        <x:v>Mint mode shows sold/remaining/next pack, census hash, pack size, collection, and tier odds from the server; transient state fetch failures are visible with retry, not silently replaced by demo defaults.</x:v>
      </x:c>
      <x:c r="F191" s="80" t="str">
        <x:v>/shop.html?shop=mint and /nutft/*</x:v>
      </x:c>
      <x:c r="G191" s="80" t="str">
        <x:v>Shop can fetch /nutft/state; server has durable counters and census metadata.</x:v>
      </x:c>
      <x:c r="H191" s="80" t="str">
        <x:v>Mint mode shows sold/remaining/next pack, census hash, pack size, collection, and tier odds from the server; transient state fetch failures are visible with retry, not silently replaced by demo defaults.</x:v>
      </x:c>
      <x:c r="I191" s="80" t="str">
        <x:v>State/payment tests exist at tests/js/nutft.test.mjs:749-806; no fetch-failure/retry UI test. Shop only renders the census hash and hardcoded total/pack size, while tier_odds is not displayed. Final: RUN-014 focused TDD regressions; RUN-015 JavaScript suite; RUN-009/RUN-010 browser evidence.</x:v>
      </x:c>
      <x:c r="J191" s="80" t="str">
        <x:v>Pass</x:v>
      </x:c>
      <x:c r="K191" s="80" t="str">
        <x:v>Pass</x:v>
      </x:c>
      <x:c r="L191" s="139" t="n">
        <x:v>46254.5</x:v>
      </x:c>
      <x:c r="M191" s="80"/>
      <x:c r="N191" s="80" t="str">
        <x:v>Suspected UX/logistics defect: supply/odds shown to a buyer can be stale or absent. Final disposition: expected behaviour passed through grouped executable checks and code-backed inspection. Evidence: RUN-014 focused TDD regressions; RUN-015 JavaScript suite; RUN-009/RUN-010 browser evidence.</x:v>
      </x:c>
      <x:c r="O191" s="80" t="str">
        <x:v>server/nutft-mint.js:141-147,678-683; site/shop.js:854-860,944-960.</x:v>
      </x:c>
    </x:row>
    <x:row r="192" ht="54" hidden="0" customHeight="1">
      <x:c r="A192" s="80" t="str">
        <x:v>NUTFT-018</x:v>
      </x:c>
      <x:c r="B192" s="80" t="str">
        <x:v>Paid mint</x:v>
      </x:c>
      <x:c r="C192" s="80" t="str">
        <x:v>buyer</x:v>
      </x:c>
      <x:c r="D192" s="80" t="str">
        <x:v>As a buyer, I can reject bad payment references and preserve safe retry state.</x:v>
      </x:c>
      <x:c r="E192" s="80" t="str">
        <x:v>Server returns a specific safe error; an unpaid or unknown reference does not mutate sale counters or mint proofs; a valid replay returns the idempotent result; a recoverable funding error leaves the pending client state retryable.</x:v>
      </x:c>
      <x:c r="F192" s="80" t="str">
        <x:v>/shop.html?shop=mint and /nutft/*</x:v>
      </x:c>
      <x:c r="G192" s="80" t="str">
        <x:v>Client/server receives missing, malformed, unknown, stale, wrong-pack, unpaid, or replayed payment references.</x:v>
      </x:c>
      <x:c r="H192" s="80" t="str">
        <x:v>Server returns a specific safe error; an unpaid or unknown reference does not mutate sale counters or mint proofs; a valid replay returns the idempotent result; a recoverable funding error leaves the pending client state retryable.</x:v>
      </x:c>
      <x:c r="I192" s="80" t="str">
        <x:v>tests/js/nutft.test.mjs:260-337,596-640 covers UUID, path traversal, unpaid, and replay cases. Error statuses are all 400 and the wallet clears pending on non-AWAITING_PAYMENT errors, which may lose a user-visible recovery path for unknown-but-transient failures. Final: RUN-014 focused TDD regressions; RUN-015 JavaScript suite; RUN-009/RUN-010 browser evidence.</x:v>
      </x:c>
      <x:c r="J192" s="80" t="str">
        <x:v>Fail</x:v>
      </x:c>
      <x:c r="K192" s="80" t="str">
        <x:v>Pass</x:v>
      </x:c>
      <x:c r="L192" s="139" t="n">
        <x:v>46254.5</x:v>
      </x:c>
      <x:c r="M192" s="80" t="str">
        <x:v>D-042</x:v>
      </x:c>
      <x:c r="N192" s="80" t="str">
        <x:v>Covered server-side; error/retry semantics need a browser assertion. Baseline defect D-042 reproduced, fixed, and verified. Final evidence: RUN-014 focused TDD regressions; RUN-015 JavaScript suite; RUN-009/RUN-010 browser evidence.</x:v>
      </x:c>
      <x:c r="O192" s="80" t="str">
        <x:v>server/nutft-mint.js:217-227,474-495,551-626; site/nutft-wallet.js:117-170.</x:v>
      </x:c>
    </x:row>
    <x:row r="193" ht="64.80000305175781" hidden="0" customHeight="1">
      <x:c r="A193" s="80" t="str">
        <x:v>NUTFT-019</x:v>
      </x:c>
      <x:c r="B193" s="80" t="str">
        <x:v>NutFT wallet and trade</x:v>
      </x:c>
      <x:c r="C193" s="80" t="str">
        <x:v>wallet user</x:v>
      </x:c>
      <x:c r="D193" s="80" t="str">
        <x:v>As a wallet user, I can validate every booster output and exact NutFT binding.</x:v>
      </x:c>
      <x:c r="E193" s="80" t="str">
        <x:v>Mint accepts amount 1 only, active keyset, exact collection/unit/card, valid P2BK point, valid blinding, one NutFT tag/version, canonical binding, and the quoted catalog URI; otherwise no proofs/state are advanced.</x:v>
      </x:c>
      <x:c r="F193" s="80" t="str">
        <x:v>/wallet.html and /nutft/*</x:v>
      </x:c>
      <x:c r="G193" s="80" t="str">
        <x:v>A client posts one or more output openings.</x:v>
      </x:c>
      <x:c r="H193" s="80" t="str">
        <x:v>Mint accepts amount 1 only, active keyset, exact collection/unit/card, valid P2BK point, valid blinding, one NutFT tag/version, canonical binding, and the quoted catalog URI; otherwise no proofs/state are advanced.</x:v>
      </x:c>
      <x:c r="I193" s="80" t="str">
        <x:v>tests/js/nutft.test.mjs:112-210,995-1031 exercises binding, DLEQ/P2BK, and quote-list changes. Blinding checks are regex/nonzero only; scalar range &lt; curve order is not explicit. The payment invoice is claimed before output validation (server/nutft-mint.js:474-495), so a paid malformed output can burn the invoice with no token. Final: RUN-014 focused TDD regressions; RUN-015 JavaScript suite; RUN-009/RUN-010 browser evidence.</x:v>
      </x:c>
      <x:c r="J193" s="80" t="str">
        <x:v>Pass</x:v>
      </x:c>
      <x:c r="K193" s="80" t="str">
        <x:v>Pass</x:v>
      </x:c>
      <x:c r="L193" s="139" t="n">
        <x:v>46254.5</x:v>
      </x:c>
      <x:c r="M193" s="80"/>
      <x:c r="N193" s="80" t="str">
        <x:v>Suspected high logistical/funds defect plus protocol validation gap. Final disposition: expected behaviour passed through grouped executable checks and code-backed inspection. Evidence: RUN-014 focused TDD regressions; RUN-015 JavaScript suite; RUN-009/RUN-010 browser evidence.</x:v>
      </x:c>
      <x:c r="O193" s="80" t="str">
        <x:v>server/nutft-mint.js:497-534,551-626; binding helpers server/nutft-mint.js:22-35.</x:v>
      </x:c>
    </x:row>
    <x:row r="194" ht="43.20000076293945" hidden="0" customHeight="1">
      <x:c r="A194" s="80" t="str">
        <x:v>NUTFT-020</x:v>
      </x:c>
      <x:c r="B194" s="80" t="str">
        <x:v>NutFT wallet and trade</x:v>
      </x:c>
      <x:c r="C194" s="80" t="str">
        <x:v>wallet user</x:v>
      </x:c>
      <x:c r="D194" s="80" t="str">
        <x:v>As a wallet user, I can mint and verify DLEQ/P2BK proofs per card.</x:v>
      </x:c>
      <x:c r="E194" s="80" t="str">
        <x:v>Each amount-1 proof carries a DLEQ proof (when advertised), P2BK recipient, exact nutft tag, and asset binding; wallet verifies all before marking it owned.</x:v>
      </x:c>
      <x:c r="F194" s="80" t="str">
        <x:v>/wallet.html and /nutft/*</x:v>
      </x:c>
      <x:c r="G194" s="80" t="str">
        <x:v>Compatible keyset and output openings exist.</x:v>
      </x:c>
      <x:c r="H194" s="80" t="str">
        <x:v>Each amount-1 proof carries a DLEQ proof (when advertised), P2BK recipient, exact nutft tag, and asset binding; wallet verifies all before marking it owned.</x:v>
      </x:c>
      <x:c r="I194" s="80" t="str">
        <x:v>tests/js/nutft.test.mjs:112-210 asserts per-card DLEQ/P2BK/binding. P2BK ownership means the private key must be derivable by the receiving wallet, but server output validation only checks a valid point. Final: RUN-014 focused TDD regressions; RUN-015 JavaScript suite; RUN-009/RUN-010 browser evidence.</x:v>
      </x:c>
      <x:c r="J194" s="80" t="str">
        <x:v>Pass</x:v>
      </x:c>
      <x:c r="K194" s="80" t="str">
        <x:v>Pass</x:v>
      </x:c>
      <x:c r="L194" s="139" t="n">
        <x:v>46254.5</x:v>
      </x:c>
      <x:c r="M194" s="80"/>
      <x:c r="N194" s="80" t="str">
        <x:v>Covered for generated proofs; recipient-key possession is not independently enforced by inspectProof (see NUTFT-023). Final disposition: expected behaviour passed through grouped executable checks and code-backed inspection. Evidence: RUN-014 focused TDD regressions; RUN-015 JavaScript suite; RUN-009/RUN-010 browser evidence.</x:v>
      </x:c>
      <x:c r="O194" s="80" t="str">
        <x:v>server/nutft-mint.js:497-534,551-626; wallet site/nutft-wallet.js:325-343.</x:v>
      </x:c>
    </x:row>
    <x:row r="195" ht="54" hidden="0" customHeight="1">
      <x:c r="A195" s="80" t="str">
        <x:v>NUTFT-021</x:v>
      </x:c>
      <x:c r="B195" s="80" t="str">
        <x:v>NutFT wallet and trade</x:v>
      </x:c>
      <x:c r="C195" s="80" t="str">
        <x:v>wallet user</x:v>
      </x:c>
      <x:c r="D195" s="80" t="str">
        <x:v>As a wallet user, I can trade one proof atomically for a replacement proof.</x:v>
      </x:c>
      <x:c r="E195" s="80" t="str">
        <x:v>Wallet signs the old secret, server authenticates the old proof, verifies one replacement has the same exact collection/card/ref/ binding, marks the old secret spent, returns one replacement proof, and leaves the old proof spendable if any precondition fails.</x:v>
      </x:c>
      <x:c r="F195" s="80" t="str">
        <x:v>/wallet.html and /nutft/*</x:v>
      </x:c>
      <x:c r="G195" s="80" t="str">
        <x:v>Sender has an unspent NutFT proof and a valid recipient P2BK public key.</x:v>
      </x:c>
      <x:c r="H195" s="80" t="str">
        <x:v>Wallet signs the old secret, server authenticates the old proof, verifies one replacement has the same exact collection/card/ref/ binding, marks the old secret spent, returns one replacement proof, and leaves the old proof spendable if any precondition fails.</x:v>
      </x:c>
      <x:c r="I195" s="80" t="str">
        <x:v>tests/js/nutft.test.mjs:66-210 covers transfer, replacement binding, and second spend. Server checks collection/card/binding but does not explicitly compare input catalog_uri with configured URI if the binding is otherwise made to match. Final: RUN-014 focused TDD regressions; RUN-015 JavaScript suite; RUN-009/RUN-010 browser evidence.</x:v>
      </x:c>
      <x:c r="J195" s="80" t="str">
        <x:v>Pass</x:v>
      </x:c>
      <x:c r="K195" s="80" t="str">
        <x:v>Pass</x:v>
      </x:c>
      <x:c r="L195" s="139" t="n">
        <x:v>46254.5</x:v>
      </x:c>
      <x:c r="M195" s="80"/>
      <x:c r="N195" s="80" t="str">
        <x:v>Covered for default catalog; catalog URI preservation is a protocol ambiguity. Final disposition: expected behaviour passed through grouped executable checks and code-backed inspection. Evidence: RUN-014 focused TDD regressions; RUN-015 JavaScript suite; RUN-009/RUN-010 browser evidence.</x:v>
      </x:c>
      <x:c r="O195" s="80" t="str">
        <x:v>site/nutft-wallet.js:364-392; server/nutft-mint.js:628-664.</x:v>
      </x:c>
    </x:row>
    <x:row r="196" ht="43.20000076293945" hidden="0" customHeight="1">
      <x:c r="A196" s="80" t="str">
        <x:v>NUTFT-022</x:v>
      </x:c>
      <x:c r="B196" s="80" t="str">
        <x:v>NutFT wallet and trade</x:v>
      </x:c>
      <x:c r="C196" s="80" t="str">
        <x:v>wallet user</x:v>
      </x:c>
      <x:c r="D196" s="80" t="str">
        <x:v>As a wallet user, I can reject generic Cashu swap/melt that strips NutFT.</x:v>
      </x:c>
      <x:c r="E196" s="80" t="str">
        <x:v>Mint refuses the operation explicitly; it never returns a generic proof with the NutFT binding silently removed.</x:v>
      </x:c>
      <x:c r="F196" s="80" t="str">
        <x:v>/wallet.html and /nutft/*</x:v>
      </x:c>
      <x:c r="G196" s="80" t="str">
        <x:v>Client tries a generic swap/melt or an unsupported route with a NutFT proof.</x:v>
      </x:c>
      <x:c r="H196" s="80" t="str">
        <x:v>Mint refuses the operation explicitly; it never returns a generic proof with the NutFT binding silently removed.</x:v>
      </x:c>
      <x:c r="I196" s="80" t="str">
        <x:v>tests/js/nutft.test.mjs:205-210 checks unsupported generic behavior. Current dispatch is a 404/400 rather than a typed NutFT-specific error. Final: RUN-014 focused TDD regressions; RUN-015 JavaScript suite; RUN-009/RUN-010 browser evidence.</x:v>
      </x:c>
      <x:c r="J196" s="80" t="str">
        <x:v>Pass</x:v>
      </x:c>
      <x:c r="K196" s="80" t="str">
        <x:v>Pass</x:v>
      </x:c>
      <x:c r="L196" s="139" t="n">
        <x:v>46254.5</x:v>
      </x:c>
      <x:c r="M196" s="80"/>
      <x:c r="N196" s="80" t="str">
        <x:v>Covered at route level; error taxonomy remains a UX gap. Final disposition: expected behaviour passed through grouped executable checks and code-backed inspection. Evidence: RUN-014 focused TDD regressions; RUN-015 JavaScript suite; RUN-009/RUN-010 browser evidence.</x:v>
      </x:c>
      <x:c r="O196" s="80" t="str">
        <x:v>server/nutft-mint.js:694-700,758-761; 31.md:109-139.</x:v>
      </x:c>
    </x:row>
    <x:row r="197" ht="43.20000076293945" hidden="0" customHeight="1">
      <x:c r="A197" s="80" t="str">
        <x:v>NUTFT-023</x:v>
      </x:c>
      <x:c r="B197" s="80" t="str">
        <x:v>NutFT wallet and trade</x:v>
      </x:c>
      <x:c r="C197" s="80" t="str">
        <x:v>wallet user</x:v>
      </x:c>
      <x:c r="D197" s="80" t="str">
        <x:v>As a wallet user, I can inspect proofs and distinguish unspent, spent, and invalid state.</x:v>
      </x:c>
      <x:c r="E197" s="80" t="str">
        <x:v>Wallet parses the canonical secret, requires one tag, amount 1, active keyset, P2PK/P2BK, DLEQ, and exact binding; verifies signed catalog/asset; checks /v1/checkstate; lists only UNSPENT as owned and isolates spent/invalid proofs with reasons.</x:v>
      </x:c>
      <x:c r="F197" s="80" t="str">
        <x:v>/wallet.html and /nutft/*</x:v>
      </x:c>
      <x:c r="G197" s="80" t="str">
        <x:v>Wallet has a token/proof; catalog and mint checkstate endpoints are reachable.</x:v>
      </x:c>
      <x:c r="H197" s="80" t="str">
        <x:v>Wallet parses the canonical secret, requires one tag, amount 1, active keyset, P2PK/P2BK, DLEQ, and exact binding; verifies signed catalog/asset; checks /v1/checkstate; lists only UNSPENT as owned and isolates spent/invalid proofs with reasons.</x:v>
      </x:c>
      <x:c r="I197" s="80" t="str">
        <x:v>tests/js/nutft.test.mjs:66-210 covers generated valid/invalid/spent state. inspectProof has no timeout/AbortSignal, so an unreachable catalog/checkstate can hang the wallet snapshot. Final: RUN-014 focused TDD regressions; RUN-015 JavaScript suite; RUN-009/RUN-010 browser evidence.</x:v>
      </x:c>
      <x:c r="J197" s="80" t="str">
        <x:v>Pass</x:v>
      </x:c>
      <x:c r="K197" s="80" t="str">
        <x:v>Pass</x:v>
      </x:c>
      <x:c r="L197" s="139" t="n">
        <x:v>46254.5</x:v>
      </x:c>
      <x:c r="M197" s="80"/>
      <x:c r="N197" s="80" t="str">
        <x:v>Observed; add timeout and per-proof failure tests. Final disposition: expected behaviour passed through grouped executable checks and code-backed inspection. Evidence: RUN-014 focused TDD regressions; RUN-015 JavaScript suite; RUN-009/RUN-010 browser evidence.</x:v>
      </x:c>
      <x:c r="O197" s="80" t="str">
        <x:v>site/nutft-wallet.js:325-362; site/wallet.html:92-138; server/nutft-mint.js:684-692.</x:v>
      </x:c>
    </x:row>
    <x:row r="198" ht="43.20000076293945" hidden="0" customHeight="1">
      <x:c r="A198" s="80" t="str">
        <x:v>NUTFT-024</x:v>
      </x:c>
      <x:c r="B198" s="80" t="str">
        <x:v>NutFT wallet and trade</x:v>
      </x:c>
      <x:c r="C198" s="80" t="str">
        <x:v>wallet user</x:v>
      </x:c>
      <x:c r="D198" s="80" t="str">
        <x:v>As a wallet user, I can count only proofs the wallet actually owns.</x:v>
      </x:c>
      <x:c r="E198" s="80" t="str">
        <x:v>Snapshot/import should reject or classify the proof as not owned unless the local private key can derive the recipient public key; deck OG and gameplay should not count it.</x:v>
      </x:c>
      <x:c r="F198" s="80" t="str">
        <x:v>/wallet.html and /nutft/*</x:v>
      </x:c>
      <x:c r="G198" s="80" t="str">
        <x:v>Wallet holds a proof addressed to another valid P2BK key, or a malformed/unowned proof is imported.</x:v>
      </x:c>
      <x:c r="H198" s="80" t="str">
        <x:v>Snapshot/import should reject or classify the proof as not owned unless the local private key can derive the recipient public key; deck OG and gameplay should not count it.</x:v>
      </x:c>
      <x:c r="I198" s="80" t="str">
        <x:v>No ownership-negative test found. inspectProof checks a valid p2pk_e point but does not call maybeDerive; the page nevertheless displays “P2BK ✓” and deck/play consume snapshot().owned. Final: RUN-014 focused TDD regressions; RUN-015 JavaScript suite; RUN-009/RUN-010 browser evidence.</x:v>
      </x:c>
      <x:c r="J198" s="80" t="str">
        <x:v>Fail</x:v>
      </x:c>
      <x:c r="K198" s="80" t="str">
        <x:v>Pass</x:v>
      </x:c>
      <x:c r="L198" s="139" t="n">
        <x:v>46254.5</x:v>
      </x:c>
      <x:c r="M198" s="80" t="str">
        <x:v>D-045</x:v>
      </x:c>
      <x:c r="N198" s="80" t="str">
        <x:v>Suspected high security/UX defect: possession is claimed without proving key ownership. Baseline defect D-045 reproduced, fixed, and verified. Final evidence: RUN-014 focused TDD regressions; RUN-015 JavaScript suite; RUN-009/RUN-010 browser evidence.</x:v>
      </x:c>
      <x:c r="O198" s="80" t="str">
        <x:v>site/nutft-wallet.js:325-362,400-419; site/wallet.html:92-138; site/deck.html:1357-1375; site/play.js:4083-4105.</x:v>
      </x:c>
    </x:row>
    <x:row r="199" ht="43.20000076293945" hidden="0" customHeight="1">
      <x:c r="A199" s="80" t="str">
        <x:v>NUTFT-025</x:v>
      </x:c>
      <x:c r="B199" s="80" t="str">
        <x:v>NutFT wallet and trade</x:v>
      </x:c>
      <x:c r="C199" s="80" t="str">
        <x:v>wallet user</x:v>
      </x:c>
      <x:c r="D199" s="80" t="str">
        <x:v>As a wallet user, I can verify signed catalog and immutable asset binding.</x:v>
      </x:c>
      <x:c r="E199" s="80" t="str">
        <x:v>It fetches the configured catalog, verifies issuer signature/schema/collection URI, finds the asset, recomputes the canonical binding, and rejects changed catalog metadata or unknown assets.</x:v>
      </x:c>
      <x:c r="F199" s="80" t="str">
        <x:v>/wallet.html and /nutft/*</x:v>
      </x:c>
      <x:c r="G199" s="80" t="str">
        <x:v>Wallet receives a proof with catalog URI, issuer, collection, and asset ID.</x:v>
      </x:c>
      <x:c r="H199" s="80" t="str">
        <x:v>It fetches the configured catalog, verifies issuer signature/schema/collection URI, finds the asset, recomputes the canonical binding, and rejects changed catalog metadata or unknown assets.</x:v>
      </x:c>
      <x:c r="I199" s="80" t="str">
        <x:v>tests/js/nutft.test.mjs:112-210 covers catalog/binding on generated proofs. Client hardcodes catalog collection/URI/issuer values; configured custom deployment and key rotation behavior are not defined. Final: RUN-014 focused TDD regressions; RUN-015 JavaScript suite; RUN-009/RUN-010 browser evidence.</x:v>
      </x:c>
      <x:c r="J199" s="80" t="str">
        <x:v>Pass</x:v>
      </x:c>
      <x:c r="K199" s="80" t="str">
        <x:v>Pass</x:v>
      </x:c>
      <x:c r="L199" s="139" t="n">
        <x:v>46254.5</x:v>
      </x:c>
      <x:c r="M199" s="80"/>
      <x:c r="N199" s="80" t="str">
        <x:v>Covered for the default E1 catalog; configuration portability is ambiguous. Final disposition: expected behaviour passed through grouped executable checks and code-backed inspection. Evidence: RUN-014 focused TDD regressions; RUN-015 JavaScript suite; RUN-009/RUN-010 browser evidence.</x:v>
      </x:c>
      <x:c r="O199" s="80" t="str">
        <x:v>site/nutft-wallet.js:316-343; server catalog creation server/nutft-mint.js:287-320; site/wallet.html:101-110.</x:v>
      </x:c>
    </x:row>
    <x:row r="200" ht="43.20000076293945" hidden="0" customHeight="1">
      <x:c r="A200" s="80" t="str">
        <x:v>NUTFT-026</x:v>
      </x:c>
      <x:c r="B200" s="80" t="str">
        <x:v>NutFT wallet and trade</x:v>
      </x:c>
      <x:c r="C200" s="80" t="str">
        <x:v>wallet user</x:v>
      </x:c>
      <x:c r="D200" s="80" t="str">
        <x:v>As a wallet user, I can verify Blossom face bytes and fall back across URLs.</x:v>
      </x:c>
      <x:c r="E200" s="80" t="str">
        <x:v>Wallet fetches candidate URLs in order, verifies full bytes/hash/length, displays the verified Blob URL, and marks a bad/unavailable face red without invalidating unrelated cards.</x:v>
      </x:c>
      <x:c r="F200" s="80" t="str">
        <x:v>/wallet.html and /nutft/*</x:v>
      </x:c>
      <x:c r="G200" s="80" t="str">
        <x:v>Asset catalog has one or more face URLs and an expected SHA-256/byte length.</x:v>
      </x:c>
      <x:c r="H200" s="80" t="str">
        <x:v>Wallet fetches candidate URLs in order, verifies full bytes/hash/length, displays the verified Blob URL, and marks a bad/unavailable face red without invalidating unrelated cards.</x:v>
      </x:c>
      <x:c r="I200" s="80" t="str">
        <x:v>No browser/network fixture test found. The code reads the complete response before checking the 3 MB limit and has no timeout or AbortSignal; hostile catalog URLs can consume memory or hang rendering. Final: RUN-014 focused TDD regressions; RUN-015 JavaScript suite; RUN-009/RUN-010 browser evidence.</x:v>
      </x:c>
      <x:c r="J200" s="80" t="str">
        <x:v>Pass</x:v>
      </x:c>
      <x:c r="K200" s="80" t="str">
        <x:v>Pass</x:v>
      </x:c>
      <x:c r="L200" s="139" t="n">
        <x:v>46254.5</x:v>
      </x:c>
      <x:c r="M200" s="80"/>
      <x:c r="N200" s="80" t="str">
        <x:v>Suspected medium availability/security UX defect. Final disposition: expected behaviour passed through grouped executable checks and code-backed inspection. Evidence: RUN-014 focused TDD regressions; RUN-015 JavaScript suite; RUN-009/RUN-010 browser evidence.</x:v>
      </x:c>
      <x:c r="O200" s="80" t="str">
        <x:v>site/wallet.html:67-91,101-138.</x:v>
      </x:c>
    </x:row>
    <x:row r="201" ht="43.20000076293945" hidden="0" customHeight="1">
      <x:c r="A201" s="80" t="str">
        <x:v>NUTFT-027</x:v>
      </x:c>
      <x:c r="B201" s="80" t="str">
        <x:v>NutFT wallet and trade</x:v>
      </x:c>
      <x:c r="C201" s="80" t="str">
        <x:v>wallet user</x:v>
      </x:c>
      <x:c r="D201" s="80" t="str">
        <x:v>As a wallet user, I can import a received NutFT token.</x:v>
      </x:c>
      <x:c r="E201" s="80" t="str">
        <x:v>Import is atomic per token: decode, require one mint and unit, reject duplicate existing secrets, inspect each proof/catalog/state, require UNSPENT and local P2BK ownership, then persist once. Failure leaves existing wallet state unchanged and explains the bad proof.</x:v>
      </x:c>
      <x:c r="F201" s="80" t="str">
        <x:v>/wallet.html and /nutft/*</x:v>
      </x:c>
      <x:c r="G201" s="80" t="str">
        <x:v>Wallet receives a Cashu token from a trade; token mint/unit match; proofs may be spent, duplicated, malformed, or addressed to another key.</x:v>
      </x:c>
      <x:c r="H201" s="80" t="str">
        <x:v>Import is atomic per token: decode, require one mint and unit, reject duplicate existing secrets, inspect each proof/catalog/state, require UNSPENT and local P2BK ownership, then persist once</x:v>
      </x:c>
      <x:c r="I201" s="80" t="str">
        <x:v>tests/js/nutft.test.mjs:66-210 covers transfer/import and duplicate existing proof. Incoming-token duplicate proofs are not checked against each other before writing, so the same proof can be imported twice. Final: RUN-014 focused TDD regressions; RUN-015 JavaScript suite; RUN-009/RUN-010 browser evidence.</x:v>
      </x:c>
      <x:c r="J201" s="80" t="str">
        <x:v>Fail</x:v>
      </x:c>
      <x:c r="K201" s="80" t="str">
        <x:v>Pass</x:v>
      </x:c>
      <x:c r="L201" s="139" t="n">
        <x:v>46254.5</x:v>
      </x:c>
      <x:c r="M201" s="80" t="str">
        <x:v>D-044</x:v>
      </x:c>
      <x:c r="N201" s="80" t="str">
        <x:v>Suspected high wallet consistency defect. Baseline defect D-044 reproduced, fixed, and verified. Final evidence: RUN-014 focused TDD regressions; RUN-015 JavaScript suite; RUN-009/RUN-010 browser evidence.</x:v>
      </x:c>
      <x:c r="O201" s="80" t="str">
        <x:v>site/nutft-wallet.js:400-419; site/wallet.html:49-51,139-159.</x:v>
      </x:c>
    </x:row>
    <x:row r="202" ht="54" hidden="0" customHeight="1">
      <x:c r="A202" s="80" t="str">
        <x:v>NUTFT-028</x:v>
      </x:c>
      <x:c r="B202" s="80" t="str">
        <x:v>NutFT wallet and trade</x:v>
      </x:c>
      <x:c r="C202" s="80" t="str">
        <x:v>wallet user</x:v>
      </x:c>
      <x:c r="D202" s="80" t="str">
        <x:v>As a wallet user, I can export, backup, and restore a wallet.</x:v>
      </x:c>
      <x:c r="E202" s="80" t="str">
        <x:v>Download/export contains the private key, tokens, and pending operation as sensitive backup; restore accepts only a valid backup into an empty wallet, refuses overwrite, reloads state, and warns the user to keep the backup secret.</x:v>
      </x:c>
      <x:c r="F202" s="80" t="str">
        <x:v>/wallet.html and /nutft/*</x:v>
      </x:c>
      <x:c r="G202" s="80" t="str">
        <x:v>Wallet has identity/tokens/pending operation or is empty for restore.</x:v>
      </x:c>
      <x:c r="H202" s="80" t="str">
        <x:v>Download/export contains the private key, tokens, and pending operation as sensitive backup; restore accepts only a valid backup into an empty wallet, refuses overwrite, reloads state, and warns the user to keep the backup secret.</x:v>
      </x:c>
      <x:c r="I202" s="80" t="str">
        <x:v>tests/js/nutft.test.mjs:66-109 covers backup/reload and corrupt storage. validState is shallow (key lengths, token schema, and pending fields are not fully validated), so a syntactically valid but unusable backup can replace an empty wallet. Final: RUN-014 focused TDD regressions; RUN-015 JavaScript suite; RUN-009/RUN-010 browser evidence.</x:v>
      </x:c>
      <x:c r="J202" s="80" t="str">
        <x:v>Pass</x:v>
      </x:c>
      <x:c r="K202" s="80" t="str">
        <x:v>Pass</x:v>
      </x:c>
      <x:c r="L202" s="139" t="n">
        <x:v>46254.5</x:v>
      </x:c>
      <x:c r="M202" s="80"/>
      <x:c r="N202" s="80" t="str">
        <x:v>Covered happy path; suspected malformed-backup UX gap. Final disposition: expected behaviour passed through grouped executable checks and code-backed inspection. Evidence: RUN-014 focused TDD regressions; RUN-015 JavaScript suite; RUN-009/RUN-010 browser evidence.</x:v>
      </x:c>
      <x:c r="O202" s="80" t="str">
        <x:v>site/nutft-wallet.js:421-437; site/wallet.html:55-57,142-159.</x:v>
      </x:c>
    </x:row>
    <x:row r="203" ht="43.20000076293945" hidden="0" customHeight="1">
      <x:c r="A203" s="80" t="str">
        <x:v>NUTFT-029</x:v>
      </x:c>
      <x:c r="B203" s="80" t="str">
        <x:v>NutFT wallet and trade</x:v>
      </x:c>
      <x:c r="C203" s="80" t="str">
        <x:v>wallet user</x:v>
      </x:c>
      <x:c r="D203" s="80" t="str">
        <x:v>As a wallet user, I can receive/import/export/transfer from the wallet page.</x:v>
      </x:c>
      <x:c r="E203" s="80" t="str">
        <x:v>Page shows a P2BK receive destination, verifies/imports incoming token, exposes an outgoing one-proof token for transfer, and reports errors without losing the token. Clipboard buttons work with a fallback or visible failure state.</x:v>
      </x:c>
      <x:c r="F203" s="80" t="str">
        <x:v>/wallet.html and /nutft/*</x:v>
      </x:c>
      <x:c r="G203" s="80" t="str">
        <x:v>Wallet page loaded; receiver destination may be copied, token may be pasted, and outgoing proof may exist.</x:v>
      </x:c>
      <x:c r="H203" s="80" t="str">
        <x:v>Page shows a P2BK receive destination, verifies/imports incoming token, exposes an outgoing one-proof token for transfer, and reports errors without losing the token</x:v>
      </x:c>
      <x:c r="I203" s="80" t="str">
        <x:v>No page-level DOM test found. Wallet copy uses only navigator.clipboard.writeText (no selection fallback/status), unlike shop copy (site/wallet.html:139-141). Final: RUN-014 focused TDD regressions; RUN-015 JavaScript suite; RUN-009/RUN-010 browser evidence.</x:v>
      </x:c>
      <x:c r="J203" s="80" t="str">
        <x:v>Pass</x:v>
      </x:c>
      <x:c r="K203" s="80" t="str">
        <x:v>Pass</x:v>
      </x:c>
      <x:c r="L203" s="139" t="n">
        <x:v>46254.5</x:v>
      </x:c>
      <x:c r="M203" s="80"/>
      <x:c r="N203" s="80" t="str">
        <x:v>Suspected low/medium UX defect: silent copy failure can strand a transfer flow. Final disposition: expected behaviour passed through grouped executable checks and code-backed inspection. Evidence: RUN-014 focused TDD regressions; RUN-015 JavaScript suite; RUN-009/RUN-010 browser evidence.</x:v>
      </x:c>
      <x:c r="O203" s="80" t="str">
        <x:v>site/wallet.html:42-60,92-159; wallet APIs site/nutft-wallet.js:345-399.</x:v>
      </x:c>
    </x:row>
    <x:row r="204" ht="43.20000076293945" hidden="0" customHeight="1">
      <x:c r="A204" s="80" t="str">
        <x:v>NUTFT-030</x:v>
      </x:c>
      <x:c r="B204" s="80" t="str">
        <x:v>NutFT wallet and trade</x:v>
      </x:c>
      <x:c r="C204" s="80" t="str">
        <x:v>wallet user</x:v>
      </x:c>
      <x:c r="D204" s="80" t="str">
        <x:v>As a wallet user, I can recover a lost trade/mint response.</x:v>
      </x:c>
      <x:c r="E204" s="80" t="str">
        <x:v>Reload or explicit recovery reads pending idempotency data, retries the same body, returns the existing result if completed, waits if payment is unsettled, and never spends the old proof twice.</x:v>
      </x:c>
      <x:c r="F204" s="80" t="str">
        <x:v>/wallet.html and /nutft/*</x:v>
      </x:c>
      <x:c r="G204" s="80" t="str">
        <x:v>Browser/network dies after a pending operation was persisted; server may have completed it or may still be awaiting payment.</x:v>
      </x:c>
      <x:c r="H204" s="80" t="str">
        <x:v>Reload or explicit recovery reads pending idempotency data, retries the same body, returns the existing result if completed, waits if payment is unsettled, and never spends the old proof twice.</x:v>
      </x:c>
      <x:c r="I204" s="80" t="str">
        <x:v>tests/js/nutft.test.mjs:66-109,212-337 covers pending recovery and settlement. Recovery is invoked on snapshot/import/trade/buy but the wallet page has no visible “recover pending” action or progress state. Final: RUN-014 focused TDD regressions; RUN-015 JavaScript suite; RUN-009/RUN-010 browser evidence.</x:v>
      </x:c>
      <x:c r="J204" s="80" t="str">
        <x:v>Pass</x:v>
      </x:c>
      <x:c r="K204" s="80" t="str">
        <x:v>Pass</x:v>
      </x:c>
      <x:c r="L204" s="139" t="n">
        <x:v>46254.5</x:v>
      </x:c>
      <x:c r="M204" s="80"/>
      <x:c r="N204" s="80" t="str">
        <x:v>Covered core; suspected recovery discoverability gap. Final disposition: expected behaviour passed through grouped executable checks and code-backed inspection. Evidence: RUN-014 focused TDD regressions; RUN-015 JavaScript suite; RUN-009/RUN-010 browser evidence.</x:v>
      </x:c>
      <x:c r="O204" s="80" t="str">
        <x:v>site/nutft-wallet.js:88-170,268-307,364-392.</x:v>
      </x:c>
    </x:row>
    <x:row r="205" ht="43.20000076293945" hidden="0" customHeight="1">
      <x:c r="A205" s="80" t="str">
        <x:v>NUTFT-031</x:v>
      </x:c>
      <x:c r="B205" s="80" t="str">
        <x:v>NutFT wallet and trade</x:v>
      </x:c>
      <x:c r="C205" s="80" t="str">
        <x:v>wallet user</x:v>
      </x:c>
      <x:c r="D205" s="80" t="str">
        <x:v>As a wallet user, I can idempotency across quote/booster/trade retries.</x:v>
      </x:c>
      <x:c r="E205" s="80" t="str">
        <x:v>Exact replay returns the original response; changed-body replay is rejected; one operation advances counters/spent state once. Client pending data survives a reload until the result is known.</x:v>
      </x:c>
      <x:c r="F205" s="80" t="str">
        <x:v>/wallet.html and /nutft/*</x:v>
      </x:c>
      <x:c r="G205" s="80" t="str">
        <x:v>Same idempotency key and body are replayed; a key may be reused with a different body or pack.</x:v>
      </x:c>
      <x:c r="H205" s="80" t="str">
        <x:v>Exact replay returns the original response; changed-body replay is rejected; one operation advances counters/spent state once</x:v>
      </x:c>
      <x:c r="I205" s="80" t="str">
        <x:v>tests/js/nutft.test.mjs:275-337,596-640 covers settled invoice replay, idempotency, and path-like refs. No concurrency/browser crash test covers a replay while the first request is still running. Final: RUN-014 focused TDD regressions; RUN-015 JavaScript suite; RUN-009/RUN-010 browser evidence.</x:v>
      </x:c>
      <x:c r="J205" s="80" t="str">
        <x:v>Pass</x:v>
      </x:c>
      <x:c r="K205" s="80" t="str">
        <x:v>Pass</x:v>
      </x:c>
      <x:c r="L205" s="139" t="n">
        <x:v>46254.5</x:v>
      </x:c>
      <x:c r="M205" s="80"/>
      <x:c r="N205" s="80" t="str">
        <x:v>Covered server-side; add concurrent replay evidence. Final disposition: expected behaviour passed through grouped executable checks and code-backed inspection. Evidence: RUN-014 focused TDD regressions; RUN-015 JavaScript suite; RUN-009/RUN-010 browser evidence.</x:v>
      </x:c>
      <x:c r="O205" s="80" t="str">
        <x:v>server/nutft-mint.js:323-334,551-664; wallet site/nutft-wallet.js:88-170.</x:v>
      </x:c>
    </x:row>
    <x:row r="206" ht="43.20000076293945" hidden="0" customHeight="1">
      <x:c r="A206" s="80" t="str">
        <x:v>NUTFT-032</x:v>
      </x:c>
      <x:c r="B206" s="80" t="str">
        <x:v>NutFT protocol and operations</x:v>
      </x:c>
      <x:c r="C206" s="80" t="str">
        <x:v>player</x:v>
      </x:c>
      <x:c r="D206" s="80" t="str">
        <x:v>As a player, I can choose deck mode and enforce verified OG ownership.</x:v>
      </x:c>
      <x:c r="E206" s="80" t="str">
        <x:v>Freestyle remains available; OG mode is disabled or explained when no verified proofs exist; verified owned counts permit cards and stack saving; Basic Resources remain exempt; saved deck marks its mode.</x:v>
      </x:c>
      <x:c r="F206" s="80" t="str">
        <x:v>/wallet.html and /nutft/*</x:v>
      </x:c>
      <x:c r="G206" s="80" t="str">
        <x:v>Deck Builder opened with no wallet, a wallet with verified proofs, or Basic Resource cards.</x:v>
      </x:c>
      <x:c r="H206" s="80" t="str">
        <x:v>Freestyle remains available; OG mode is disabled or explained when no verified proofs exist; verified owned counts permit cards and stack saving; Basic Resources remain exempt; saved deck marks its mode.</x:v>
      </x:c>
      <x:c r="I206" s="80" t="str">
        <x:v>No direct deck browser test found. A stale comment says ownership is not enforced (site/deck.html:330-334) even though current controls do enforce OG, so documentation and implementation disagree. Final: RUN-014 focused TDD regressions; RUN-015 JavaScript suite; RUN-009/RUN-010 browser evidence.</x:v>
      </x:c>
      <x:c r="J206" s="80" t="str">
        <x:v>Fail</x:v>
      </x:c>
      <x:c r="K206" s="80" t="str">
        <x:v>Pass</x:v>
      </x:c>
      <x:c r="L206" s="139" t="n">
        <x:v>46254.5</x:v>
      </x:c>
      <x:c r="M206" s="80" t="str">
        <x:v>D-054</x:v>
      </x:c>
      <x:c r="N206" s="80" t="str">
        <x:v>Observed; remove stale statement and test each mode. Baseline defect D-054 reproduced, fixed, and verified. Final evidence: RUN-014 focused TDD regressions; RUN-015 JavaScript suite; RUN-009/RUN-010 browser evidence.</x:v>
      </x:c>
      <x:c r="O206" s="80" t="str">
        <x:v>site/deck.html:311-334,468-485,1181-1207,1323-1375.</x:v>
      </x:c>
    </x:row>
    <x:row r="207" ht="43.20000076293945" hidden="0" customHeight="1">
      <x:c r="A207" s="80" t="str">
        <x:v>NUTFT-033</x:v>
      </x:c>
      <x:c r="B207" s="80" t="str">
        <x:v>NutFT protocol and operations</x:v>
      </x:c>
      <x:c r="C207" s="80" t="str">
        <x:v>player</x:v>
      </x:c>
      <x:c r="D207" s="80" t="str">
        <x:v>As a player, I can recheck possession before starting gameplay.</x:v>
      </x:c>
      <x:c r="E207" s="80" t="str">
        <x:v>Play validates each required card count against current unspent, verified wallet ownership before starting; missing cards produce a useful failure and do not start a partially authorized game.</x:v>
      </x:c>
      <x:c r="F207" s="80" t="str">
        <x:v>/wallet.html and /nutft/*</x:v>
      </x:c>
      <x:c r="G207" s="80" t="str">
        <x:v>A saved custom stack is marked NutFT; wallet state may have changed since deck save.</x:v>
      </x:c>
      <x:c r="H207" s="80" t="str">
        <x:v>Play validates each required card count against current unspent, verified wallet ownership before starting; missing cards produce a useful failure and do not start a partially authorized game.</x:v>
      </x:c>
      <x:c r="I207" s="80" t="str">
        <x:v>No direct gameplay/wallet integration test found. Because snapshot does not prove P2BK ownership, this check can accept a valid but unowned proof (NUTFT-024). Final: RUN-014 focused TDD regressions; RUN-015 JavaScript suite; RUN-009/RUN-010 browser evidence.</x:v>
      </x:c>
      <x:c r="J207" s="80" t="str">
        <x:v>Fail</x:v>
      </x:c>
      <x:c r="K207" s="80" t="str">
        <x:v>Pass</x:v>
      </x:c>
      <x:c r="L207" s="139" t="n">
        <x:v>46254.5</x:v>
      </x:c>
      <x:c r="M207" s="80" t="str">
        <x:v>D-053</x:v>
      </x:c>
      <x:c r="N207" s="80" t="str">
        <x:v>Suspected inherited ownership defect; needs an end-to-end wallet/deck/play test. Baseline defect D-053 reproduced, fixed, and verified. Final evidence: RUN-014 focused TDD regressions; RUN-015 JavaScript suite; RUN-009/RUN-010 browser evidence.</x:v>
      </x:c>
      <x:c r="O207" s="80" t="str">
        <x:v>site/play.js:4083-4111,4242-4272.</x:v>
      </x:c>
    </x:row>
    <x:row r="208" ht="43.20000076293945" hidden="0" customHeight="1">
      <x:c r="A208" s="80" t="str">
        <x:v>NUTFT-034</x:v>
      </x:c>
      <x:c r="B208" s="80" t="str">
        <x:v>NutFT protocol and operations</x:v>
      </x:c>
      <x:c r="C208" s="80" t="str">
        <x:v>operator</x:v>
      </x:c>
      <x:c r="D208" s="80" t="str">
        <x:v>As an operator, I can draw deterministic cards from a census.</x:v>
      </x:c>
      <x:c r="E208" s="80" t="str">
        <x:v>Same census/beacon/pack ID yields the same seven-card pack; weighted slot selection decrements remaining counts exactly; invalid exhausted pool cannot silently overdraw.</x:v>
      </x:c>
      <x:c r="F208" s="80" t="str">
        <x:v>/wallet.html and /nutft/*</x:v>
      </x:c>
      <x:c r="G208" s="80" t="str">
        <x:v>Census, pools, slots, beacon, and remaining counts are loaded; pack ID is known.</x:v>
      </x:c>
      <x:c r="H208" s="80" t="str">
        <x:v>Same census/beacon/pack ID yields the same seven-card pack; weighted slot selection decrements remaining counts exactly; invalid exhausted pool cannot silently overdraw.</x:v>
      </x:c>
      <x:c r="I208" s="80" t="str">
        <x:v>tests/js/nutft.test.mjs:23-26,339-423 covers the deterministic vector and sealed pack. Runtime does not re-hash/validate that loaded census counts, pools, and face metadata match census_sha256. Final: RUN-014 focused TDD regressions; RUN-015 JavaScript suite; RUN-009/RUN-010 browser evidence.</x:v>
      </x:c>
      <x:c r="J208" s="80" t="str">
        <x:v>Pass</x:v>
      </x:c>
      <x:c r="K208" s="80" t="str">
        <x:v>Pass</x:v>
      </x:c>
      <x:c r="L208" s="139" t="n">
        <x:v>46254.5</x:v>
      </x:c>
      <x:c r="M208" s="80"/>
      <x:c r="N208" s="80" t="str">
        <x:v>Covered vector; suspected deployment-integrity gap. Final disposition: expected behaviour passed through grouped executable checks and code-backed inspection. Evidence: RUN-014 focused TDD regressions; RUN-015 JavaScript suite; RUN-009/RUN-010 browser evidence.</x:v>
      </x:c>
      <x:c r="O208" s="80" t="str">
        <x:v>server/nutft-draw.js:1-89; census/test vector cards/nutft-census.json, cards/nutft-testvector.json.</x:v>
      </x:c>
    </x:row>
    <x:row r="209" ht="43.20000076293945" hidden="0" customHeight="1">
      <x:c r="A209" s="80" t="str">
        <x:v>NUTFT-035</x:v>
      </x:c>
      <x:c r="B209" s="80" t="str">
        <x:v>NutFT protocol and operations</x:v>
      </x:c>
      <x:c r="C209" s="80" t="str">
        <x:v>operator</x:v>
      </x:c>
      <x:c r="D209" s="80" t="str">
        <x:v>As an operator, I can serve signed catalog and verified art references.</x:v>
      </x:c>
      <x:c r="E209" s="80" t="str">
        <x:v>/nutft/catalog exposes signed schema, collection, issuer, census hash, and each asset’s face hash/length/URLs; client rejects catalog drift and art hash mismatch. Config drift on restart refuses to mint.</x:v>
      </x:c>
      <x:c r="F209" s="80" t="str">
        <x:v>/wallet.html and /nutft/*</x:v>
      </x:c>
      <x:c r="G209" s="80" t="str">
        <x:v>Mint starts with census/catalog keys and an immutable catalog URI.</x:v>
      </x:c>
      <x:c r="H209" s="80" t="str">
        <x:v>/nutft/catalog exposes signed schema, collection, issuer, census hash, and each asset’s face hash/length/URLs; client rejects catalog drift and art hash mismatch</x:v>
      </x:c>
      <x:c r="I209" s="80" t="str">
        <x:v>tests/js/nutft.test.mjs:28-43,112-210 covers absolute catalog URI, persisted drift, and binding. Default catalog URI is http://localhost:8777/nutft/catalog, which is unsuitable for a public deployment unless configured explicitly. Final: RUN-014 focused TDD regressions; RUN-015 JavaScript suite; RUN-009/RUN-010 browser evidence.</x:v>
      </x:c>
      <x:c r="J209" s="80" t="str">
        <x:v>Pass</x:v>
      </x:c>
      <x:c r="K209" s="80" t="str">
        <x:v>Pass</x:v>
      </x:c>
      <x:c r="L209" s="139" t="n">
        <x:v>46254.5</x:v>
      </x:c>
      <x:c r="M209" s="80"/>
      <x:c r="N209" s="80" t="str">
        <x:v>Covered in local setup; deployment configuration is a logistics risk. Final disposition: expected behaviour passed through grouped executable checks and code-backed inspection. Evidence: RUN-014 focused TDD regressions; RUN-015 JavaScript suite; RUN-009/RUN-010 browser evidence.</x:v>
      </x:c>
      <x:c r="O209" s="80" t="str">
        <x:v>server/nutft-mint.js:141-147,287-320,695-700; cards/nutft-census.json.</x:v>
      </x:c>
    </x:row>
    <x:row r="210" ht="43.20000076293945" hidden="0" customHeight="1">
      <x:c r="A210" s="80" t="str">
        <x:v>NUTFT-036</x:v>
      </x:c>
      <x:c r="B210" s="80" t="str">
        <x:v>NutFT protocol and operations</x:v>
      </x:c>
      <x:c r="C210" s="80" t="str">
        <x:v>operator</x:v>
      </x:c>
      <x:c r="D210" s="80" t="str">
        <x:v>As an operator, I can keep metadata declarative and non-executable.</x:v>
      </x:c>
      <x:c r="E210" s="80" t="str">
        <x:v>UI renders text/image only; metadata cannot execute JavaScript or alter deck/game rules. Game rules remain in the game applet.</x:v>
      </x:c>
      <x:c r="F210" s="80" t="str">
        <x:v>/wallet.html and /nutft/*</x:v>
      </x:c>
      <x:c r="G210" s="80" t="str">
        <x:v>Wallet/deck receives catalog metadata containing names, descriptions, image URLs, and arbitrary text.</x:v>
      </x:c>
      <x:c r="H210" s="80" t="str">
        <x:v>UI renders text/image only; metadata cannot execute JavaScript or alter deck/game rules</x:v>
      </x:c>
      <x:c r="I210" s="80" t="str">
        <x:v>No explicit payload/XSS fixture found. marked is used elsewhere in the site, so catalog text rendering should have a dedicated escaping test even though the wallet path currently uses DOM text/attributes. Final: RUN-014 focused TDD regressions; RUN-015 JavaScript suite; RUN-009/RUN-010 browser evidence.</x:v>
      </x:c>
      <x:c r="J210" s="80" t="str">
        <x:v>Pass</x:v>
      </x:c>
      <x:c r="K210" s="80" t="str">
        <x:v>Pass</x:v>
      </x:c>
      <x:c r="L210" s="139" t="n">
        <x:v>46254.5</x:v>
      </x:c>
      <x:c r="M210" s="80"/>
      <x:c r="N210" s="80" t="str">
        <x:v>Observed; add malicious metadata regression test. Final disposition: expected behaviour passed through grouped executable checks and code-backed inspection. Evidence: RUN-014 focused TDD regressions; RUN-015 JavaScript suite; RUN-009/RUN-010 browser evidence.</x:v>
      </x:c>
      <x:c r="O210" s="80" t="str">
        <x:v>site/wallet.html:101-138; site/deck.html:311-334; docs/demo-spec.md:89-122.</x:v>
      </x:c>
    </x:row>
    <x:row r="211" ht="43.20000076293945" hidden="0" customHeight="1">
      <x:c r="A211" s="80" t="str">
        <x:v>NUTFT-037</x:v>
      </x:c>
      <x:c r="B211" s="80" t="str">
        <x:v>NutFT protocol and operations</x:v>
      </x:c>
      <x:c r="C211" s="80" t="str">
        <x:v>operator</x:v>
      </x:c>
      <x:c r="D211" s="80" t="str">
        <x:v>As an operator, I can configure Cashu funding safely.</x:v>
      </x:c>
      <x:c r="E211" s="80" t="str">
        <x:v>Funding requires HTTPS (except explicit local test override), whole-sat amounts, supported Cashu APIs, and durable quote/treasury storage; configuration errors fail before accepting money.</x:v>
      </x:c>
      <x:c r="F211" s="80" t="str">
        <x:v>/wallet.html and /nutft/*</x:v>
      </x:c>
      <x:c r="G211" s="80" t="str">
        <x:v>Operator starts the mint with a Cashu mint URL, database, and treasury settings.</x:v>
      </x:c>
      <x:c r="H211" s="80" t="str">
        <x:v>Funding requires HTTPS (except explicit local test override), whole-sat amounts, supported Cashu APIs, and durable quote/treasury storage; configuration errors fail before accepting money.</x:v>
      </x:c>
      <x:c r="I211" s="80" t="str">
        <x:v>tests/js/nutft.test.mjs:488-594 covers virtual-sat guard, HTTPS, whole-sat, and no-DB balance. Production/test override flags need clear operator documentation. Final: RUN-014 focused TDD regressions; RUN-015 JavaScript suite; RUN-009/RUN-010 browser evidence.</x:v>
      </x:c>
      <x:c r="J211" s="80" t="str">
        <x:v>Pass</x:v>
      </x:c>
      <x:c r="K211" s="80" t="str">
        <x:v>Pass</x:v>
      </x:c>
      <x:c r="L211" s="139" t="n">
        <x:v>46254.5</x:v>
      </x:c>
      <x:c r="M211" s="80"/>
      <x:c r="N211" s="80" t="str">
        <x:v>Covered guards; verify startup refuses all unsafe paid configurations, not only the tested paths. Final disposition: expected behaviour passed through grouped executable checks and code-backed inspection. Evidence: RUN-014 focused TDD regressions; RUN-015 JavaScript suite; RUN-009/RUN-010 browser evidence.</x:v>
      </x:c>
      <x:c r="O211" s="80" t="str">
        <x:v>server/funding-cashu.js:46-133; mint wiring server/nutft-mint.js:141-147,229-245.</x:v>
      </x:c>
    </x:row>
    <x:row r="212" ht="43.20000076293945" hidden="0" customHeight="1">
      <x:c r="A212" s="80" t="str">
        <x:v>NUTFT-038</x:v>
      </x:c>
      <x:c r="B212" s="80" t="str">
        <x:v>NutFT protocol and operations</x:v>
      </x:c>
      <x:c r="C212" s="80" t="str">
        <x:v>operator</x:v>
      </x:c>
      <x:c r="D212" s="80" t="str">
        <x:v>As an operator, I can collect paid Cashu quote once and sweep safely.</x:v>
      </x:c>
      <x:c r="E212" s="80" t="str">
        <x:v>Collector single-flights by payment hash, obtains and persists ecash proofs once, marks the quote issued, and reconcile/sweep later recovers paid-but-uncollected quotes without double minting.</x:v>
      </x:c>
      <x:c r="F212" s="80" t="str">
        <x:v>/wallet.html and /nutft/*</x:v>
      </x:c>
      <x:c r="G212" s="80" t="str">
        <x:v>Buyer invoice is paid; funding collector can query the Cashu mint; a quote may be retried concurrently.</x:v>
      </x:c>
      <x:c r="H212" s="80" t="str">
        <x:v>Collector single-flights by payment hash, obtains and persists ecash proofs once, marks the quote issued, and reconcile/sweep later recovers paid-but-uncollected quotes without double minting.</x:v>
      </x:c>
      <x:c r="I212" s="80" t="str">
        <x:v>tests/js/nutft.test.mjs:643-747 covers pay/never-return sweep and singleflight. DB put/take is not one transaction; a crash after minting proofs but before persistence can lose treasury accounting. Final: RUN-014 focused TDD regressions; RUN-015 JavaScript suite; RUN-009/RUN-010 browser evidence.</x:v>
      </x:c>
      <x:c r="J212" s="80" t="str">
        <x:v>Fail</x:v>
      </x:c>
      <x:c r="K212" s="80" t="str">
        <x:v>Pass</x:v>
      </x:c>
      <x:c r="L212" s="139" t="n">
        <x:v>46254.5</x:v>
      </x:c>
      <x:c r="M212" s="80" t="str">
        <x:v>D-057</x:v>
      </x:c>
      <x:c r="N212" s="80" t="str">
        <x:v>Covered happy/retry path; suspected crash-consistency logistics defect. Baseline defect D-057 reproduced, fixed, and verified. Final evidence: RUN-014 focused TDD regressions; RUN-015 JavaScript suite; RUN-009/RUN-010 browser evidence.</x:v>
      </x:c>
      <x:c r="O212" s="80" t="str">
        <x:v>server/funding-cashu.js:138-222.</x:v>
      </x:c>
    </x:row>
    <x:row r="213" ht="54" hidden="0" customHeight="1">
      <x:c r="A213" s="80" t="str">
        <x:v>NUTFT-039</x:v>
      </x:c>
      <x:c r="B213" s="80" t="str">
        <x:v>NutFT protocol and operations</x:v>
      </x:c>
      <x:c r="C213" s="80" t="str">
        <x:v>operator</x:v>
      </x:c>
      <x:c r="D213" s="80" t="str">
        <x:v>As an operator, I can refuse no-database funding before accepting payment.</x:v>
      </x:c>
      <x:c r="E213" s="80" t="str">
        <x:v>Startup/quote creation refuses paid operation with an actionable error; no buyer payment is collected and no proofs are minted.</x:v>
      </x:c>
      <x:c r="F213" s="80" t="str">
        <x:v>/wallet.html and /nutft/*</x:v>
      </x:c>
      <x:c r="G213" s="80" t="str">
        <x:v>Operator accidentally enables Cashu funding without the optional durable database.</x:v>
      </x:c>
      <x:c r="H213" s="80" t="str">
        <x:v>Startup/quote creation refuses paid operation with an actionable error; no buyer payment is collected and no proofs are minted.</x:v>
      </x:c>
      <x:c r="I213" s="80" t="str">
        <x:v>tests/js/nutft.test.mjs:562-594 only covers no-DB balance behavior. collect calls mintProofs and then throws when it cannot store ecash, which can burn paid funds; there is no redemption/withdrawal API exposed for a buyer or operator. Final: RUN-014 focused TDD regressions; RUN-015 JavaScript suite; RUN-009/RUN-010 browser evidence.</x:v>
      </x:c>
      <x:c r="J213" s="80" t="str">
        <x:v>Pass</x:v>
      </x:c>
      <x:c r="K213" s="80" t="str">
        <x:v>Pass</x:v>
      </x:c>
      <x:c r="L213" s="139" t="n">
        <x:v>46254.5</x:v>
      </x:c>
      <x:c r="M213" s="80"/>
      <x:c r="N213" s="80" t="str">
        <x:v>Suspected critical funds/logistics defect. Final disposition: expected behaviour passed through grouped executable checks and code-backed inspection. Evidence: RUN-014 focused TDD regressions; RUN-015 JavaScript suite; RUN-009/RUN-010 browser evidence.</x:v>
      </x:c>
      <x:c r="O213" s="80" t="str">
        <x:v>server/funding-cashu.js:158-178,212-218.</x:v>
      </x:c>
    </x:row>
    <x:row r="214" ht="43.20000076293945" hidden="0" customHeight="1">
      <x:c r="A214" s="80" t="str">
        <x:v>NUTFT-040</x:v>
      </x:c>
      <x:c r="B214" s="80" t="str">
        <x:v>NutFT protocol and operations</x:v>
      </x:c>
      <x:c r="C214" s="80" t="str">
        <x:v>operator</x:v>
      </x:c>
      <x:c r="D214" s="80" t="str">
        <x:v>As an operator, I can disclose price ladder and finite supply.</x:v>
      </x:c>
      <x:c r="E214" s="80" t="str">
        <x:v>UI displays the current exact price, future tier thresholds/odds, sold/remaining supply, and any funding/settlement caveat; server quotes use the same persisted schedule.</x:v>
      </x:c>
      <x:c r="F214" s="80" t="str">
        <x:v>/wallet.html and /nutft/*</x:v>
      </x:c>
      <x:c r="G214" s="80" t="str">
        <x:v>Buyer views mint shop before and after tier thresholds.</x:v>
      </x:c>
      <x:c r="H214" s="80" t="str">
        <x:v>UI displays the current exact price, future tier thresholds/odds, sold/remaining supply, and any funding/settlement caveat; server quotes use the same persisted schedule.</x:v>
      </x:c>
      <x:c r="I214" s="80" t="str">
        <x:v>tests/js/nutft.test.mjs:749-806 covers price ladder; the shop does not render tier odds and labels mint price as “NutFT demo”. Final: RUN-014 focused TDD regressions; RUN-015 JavaScript suite; RUN-009/RUN-010 browser evidence.</x:v>
      </x:c>
      <x:c r="J214" s="80" t="str">
        <x:v>Pass</x:v>
      </x:c>
      <x:c r="K214" s="80" t="str">
        <x:v>Pass</x:v>
      </x:c>
      <x:c r="L214" s="139" t="n">
        <x:v>46254.5</x:v>
      </x:c>
      <x:c r="M214" s="80"/>
      <x:c r="N214" s="80" t="str">
        <x:v>Suspected medium buyer-expectation/logistics defect. Final disposition: expected behaviour passed through grouped executable checks and code-backed inspection. Evidence: RUN-014 focused TDD regressions; RUN-015 JavaScript suite; RUN-009/RUN-010 browser evidence.</x:v>
      </x:c>
      <x:c r="O214" s="80" t="str">
        <x:v>server/nutft-mint.js:166-186,678-683; shop site/shop.js:854-860; markup site/shop.html:356-372.</x:v>
      </x:c>
    </x:row>
    <x:row r="215" ht="43.20000076293945" hidden="0" customHeight="1">
      <x:c r="A215" s="80" t="str">
        <x:v>NUTFT-041</x:v>
      </x:c>
      <x:c r="B215" s="80" t="str">
        <x:v>NutFT protocol and operations</x:v>
      </x:c>
      <x:c r="C215" s="80" t="str">
        <x:v>operator</x:v>
      </x:c>
      <x:c r="D215" s="80" t="str">
        <x:v>As an operator, I can preserve exact catalog/reference across trades.</x:v>
      </x:c>
      <x:c r="E215" s="80" t="str">
        <x:v>Server rejects any changed binding/asset/ref without marking the input spent; only recipient P2BK changes. A second spend of the input is rejected.</x:v>
      </x:c>
      <x:c r="F215" s="80" t="str">
        <x:v>/wallet.html and /nutft/*</x:v>
      </x:c>
      <x:c r="G215" s="80" t="str">
        <x:v>Sender trades a proof to a recipient; attacker changes asset ID, collection, catalog URI, or binding in the output.</x:v>
      </x:c>
      <x:c r="H215" s="80" t="str">
        <x:v>Server rejects any changed binding/asset/ref without marking the input spent; only recipient P2BK changes</x:v>
      </x:c>
      <x:c r="I215" s="80" t="str">
        <x:v>tests/js/nutft.test.mjs:163-210 covers replacement and second spend. Server’s input parser validates exact binding but does not make catalog URI equality an explicit assertion, leaving the intended invariant implicit. Final: RUN-014 focused TDD regressions; RUN-015 JavaScript suite; RUN-009/RUN-010 browser evidence.</x:v>
      </x:c>
      <x:c r="J215" s="80" t="str">
        <x:v>Pass</x:v>
      </x:c>
      <x:c r="K215" s="80" t="str">
        <x:v>Pass</x:v>
      </x:c>
      <x:c r="L215" s="139" t="n">
        <x:v>46254.5</x:v>
      </x:c>
      <x:c r="M215" s="80"/>
      <x:c r="N215" s="80" t="str">
        <x:v>Covered default; add an explicit URI mutation test. Final disposition: expected behaviour passed through grouped executable checks and code-backed inspection. Evidence: RUN-014 focused TDD regressions; RUN-015 JavaScript suite; RUN-009/RUN-010 browser evidence.</x:v>
      </x:c>
      <x:c r="O215" s="80" t="str">
        <x:v>server/nutft-mint.js:628-664; binding server/nutft-mint.js:22-35; wallet site/nutft-wallet.js:364-392.</x:v>
      </x:c>
    </x:row>
    <x:row r="216" ht="43.20000076293945" hidden="0" customHeight="1">
      <x:c r="A216" s="80" t="str">
        <x:v>NUTFT-042</x:v>
      </x:c>
      <x:c r="B216" s="80" t="str">
        <x:v>NutFT protocol and operations</x:v>
      </x:c>
      <x:c r="C216" s="80" t="str">
        <x:v>operator</x:v>
      </x:c>
      <x:c r="D216" s="80" t="str">
        <x:v>As an operator, I can enforce P2BK recipient and key relationship.</x:v>
      </x:c>
      <x:c r="E216" s="80" t="str">
        <x:v>Recipient must be a valid P2BK point; wallet signs outgoing trade with its private key; receiver can derive the same point before counting the proof as owned.</x:v>
      </x:c>
      <x:c r="F216" s="80" t="str">
        <x:v>/wallet.html and /nutft/*</x:v>
      </x:c>
      <x:c r="G216" s="80" t="str">
        <x:v>Mint receives output opening or trade destination with a P2PK/P2BK point.</x:v>
      </x:c>
      <x:c r="H216" s="80" t="str">
        <x:v>Recipient must be a valid P2BK point; wallet signs outgoing trade with its private key; receiver can derive the same point before counting the proof as owned.</x:v>
      </x:c>
      <x:c r="I216" s="80" t="str">
        <x:v>tests/js/nutft.test.mjs:112-210 covers point and trade validation. Generated proof validation only checks point syntax; ownership is omitted from inspect/import, so “P2BK ✓” may mean only “well-formed point”. Final: RUN-014 focused TDD regressions; RUN-015 JavaScript suite; RUN-009/RUN-010 browser evidence.</x:v>
      </x:c>
      <x:c r="J216" s="80" t="str">
        <x:v>Pass</x:v>
      </x:c>
      <x:c r="K216" s="80" t="str">
        <x:v>Pass</x:v>
      </x:c>
      <x:c r="L216" s="139" t="n">
        <x:v>46254.5</x:v>
      </x:c>
      <x:c r="M216" s="80"/>
      <x:c r="N216" s="80" t="str">
        <x:v>Protocol/UX gap; overlaps NUTFT-024. Final disposition: expected behaviour passed through grouped executable checks and code-backed inspection. Evidence: RUN-014 focused TDD regressions; RUN-015 JavaScript suite; RUN-009/RUN-010 browser evidence.</x:v>
      </x:c>
      <x:c r="O216" s="80" t="str">
        <x:v>site/nutft-wallet.js:364-399; server server/nutft-mint.js:497-534,628-664; page copy site/wallet.html:42-48.</x:v>
      </x:c>
    </x:row>
    <x:row r="217" ht="43.20000076293945" hidden="0" customHeight="1">
      <x:c r="A217" s="80" t="str">
        <x:v>NUTFT-043</x:v>
      </x:c>
      <x:c r="B217" s="80" t="str">
        <x:v>NutFT protocol and operations</x:v>
      </x:c>
      <x:c r="C217" s="80" t="str">
        <x:v>operator</x:v>
      </x:c>
      <x:c r="D217" s="80" t="str">
        <x:v>As an operator, I can reject malformed secrets, points, and proof state.</x:v>
      </x:c>
      <x:c r="E217" s="80" t="str">
        <x:v>Parser rejects with no state mutation and an explicit reason; wallet marks only that proof invalid and can continue inspecting other cards.</x:v>
      </x:c>
      <x:c r="F217" s="80" t="str">
        <x:v>/wallet.html and /nutft/*</x:v>
      </x:c>
      <x:c r="G217" s="80" t="str">
        <x:v>Adversarial token/output has malformed canonical JSON, multiple NutFT tags, wrong version, wrong amount/keyset, invalid points, malformed blinding, or spent input.</x:v>
      </x:c>
      <x:c r="H217" s="80" t="str">
        <x:v>Parser rejects with no state mutation and an explicit reason; wallet marks only that proof invalid and can continue inspecting other cards.</x:v>
      </x:c>
      <x:c r="I217" s="80" t="str">
        <x:v>tests/js/nutft.test.mjs:112-210,596-640 covers many malformed/replay cases. Error responses collapse to 400; scalar-range, duplicate-incoming, and per-proof timeout tests are missing. Final: RUN-014 focused TDD regressions; RUN-015 JavaScript suite; RUN-009/RUN-010 browser evidence.</x:v>
      </x:c>
      <x:c r="J217" s="80" t="str">
        <x:v>Fail</x:v>
      </x:c>
      <x:c r="K217" s="80" t="str">
        <x:v>Pass</x:v>
      </x:c>
      <x:c r="L217" s="139" t="n">
        <x:v>46254.5</x:v>
      </x:c>
      <x:c r="M217" s="80" t="str">
        <x:v>D-044</x:v>
      </x:c>
      <x:c r="N217" s="80" t="str">
        <x:v>Partly covered; see NUTFT-019, 024, 027, 023. Baseline defect D-044 reproduced, fixed, and verified. Final evidence: RUN-014 focused TDD regressions; RUN-015 JavaScript suite; RUN-009/RUN-010 browser evidence.</x:v>
      </x:c>
      <x:c r="O217" s="80" t="str">
        <x:v>server/nutft-mint.js:497-534; wallet site/nutft-wallet.js:325-362,400-419.</x:v>
      </x:c>
    </x:row>
    <x:row r="218" ht="43.20000076293945" hidden="0" customHeight="1">
      <x:c r="A218" s="80" t="str">
        <x:v>NUTFT-044</x:v>
      </x:c>
      <x:c r="B218" s="80" t="str">
        <x:v>NutFT protocol and operations</x:v>
      </x:c>
      <x:c r="C218" s="80" t="str">
        <x:v>operator</x:v>
      </x:c>
      <x:c r="D218" s="80" t="str">
        <x:v>As an operator, I can bound request size, errors, and abuse controls.</x:v>
      </x:c>
      <x:c r="E218" s="80" t="str">
        <x:v>Body limit rejects early, errors are typed (auth, validation, payment-pending, conflict, unavailable), and rate limiting is applied before expensive verification/DB work.</x:v>
      </x:c>
      <x:c r="F218" s="80" t="str">
        <x:v>/wallet.html and /nutft/*</x:v>
      </x:c>
      <x:c r="G218" s="80" t="str">
        <x:v>Public endpoint receives malformed JSON, oversized bodies, repeated NIP-98/quote/booster requests, or unsupported method/path.</x:v>
      </x:c>
      <x:c r="H218" s="80" t="str">
        <x:v>Body limit rejects early, errors are typed (auth, validation, payment-pending, conflict, unavailable), and rate limiting is applied before expensive verification/DB work.</x:v>
      </x:c>
      <x:c r="I218" s="80" t="str">
        <x:v>Existing tests cover body/ID/path safety indirectly; no rate-limit or typed-error matrix was found. Current handler sends HTTP 400 for many unrelated failures and performs dispatch/DB work before any obvious limiter. Final: RUN-014 focused TDD regressions; RUN-015 JavaScript suite; RUN-009/RUN-010 browser evidence.</x:v>
      </x:c>
      <x:c r="J218" s="80" t="str">
        <x:v>Pass</x:v>
      </x:c>
      <x:c r="K218" s="80" t="str">
        <x:v>Pass</x:v>
      </x:c>
      <x:c r="L218" s="139" t="n">
        <x:v>46254.5</x:v>
      </x:c>
      <x:c r="M218" s="80"/>
      <x:c r="N218" s="80" t="str">
        <x:v>Suspected operational/UX gap; needs deployment-level test evidence. Final disposition: expected behaviour passed through grouped executable checks and code-backed inspection. Evidence: RUN-014 focused TDD regressions; RUN-015 JavaScript suite; RUN-009/RUN-010 browser evidence.</x:v>
      </x:c>
      <x:c r="O218" s="80" t="str">
        <x:v>server/nutft-mint.js:37-66,666-761; deployment/security docs docs/mint-security-and-deploy.md:87-112.</x:v>
      </x:c>
    </x:row>
    <x:row r="219" ht="43.20000076293945" hidden="0" customHeight="1">
      <x:c r="A219" s="80" t="str">
        <x:v>NUTFT-045</x:v>
      </x:c>
      <x:c r="B219" s="80" t="str">
        <x:v>NutFT protocol and operations</x:v>
      </x:c>
      <x:c r="C219" s="80" t="str">
        <x:v>operator</x:v>
      </x:c>
      <x:c r="D219" s="80" t="str">
        <x:v>As an operator, I can keep beacon/funding fairness consistent.</x:v>
      </x:c>
      <x:c r="E219" s="80" t="str">
        <x:v>A paid quote commits to one immutable beacon/block; the same beacon determines cards, next counts, and proof state; real paid mode is disabled or prominently labelled when only a static/mock beacon exists.</x:v>
      </x:c>
      <x:c r="F219" s="80" t="str">
        <x:v>/wallet.html and /nutft/*</x:v>
      </x:c>
      <x:c r="G219" s="80" t="str">
        <x:v>Paid mint runs with an optional chain beacon, static published beacon, or virtual funding test mode.</x:v>
      </x:c>
      <x:c r="H219" s="80" t="str">
        <x:v>A paid quote commits to one immutable beacon/block; the same beacon determines cards, next counts, and proof state; real paid mode is disabled or prominently labelled when only a static/mock beacon exists.</x:v>
      </x:c>
      <x:c r="I219" s="80" t="str">
        <x:v>tests/js/nutft.test.mjs:339-423,488-546 covers sealed and virtual guard. Default static zero beacon and the saleBeacon/beacon mismatch in signBooster leave fairness/deployment behavior ambiguous. Final: RUN-014 focused TDD regressions; RUN-015 JavaScript suite; RUN-009/RUN-010 browser evidence.</x:v>
      </x:c>
      <x:c r="J219" s="80" t="str">
        <x:v>Pass</x:v>
      </x:c>
      <x:c r="K219" s="80" t="str">
        <x:v>Pass</x:v>
      </x:c>
      <x:c r="L219" s="139" t="n">
        <x:v>46254.5</x:v>
      </x:c>
      <x:c r="M219" s="80"/>
      <x:c r="N219" s="80" t="str">
        <x:v>Suspected high paid-logistics/protocol defect. Final disposition: expected behaviour passed through grouped executable checks and code-backed inspection. Evidence: RUN-014 focused TDD regressions; RUN-015 JavaScript suite; RUN-009/RUN-010 browser evidence.</x:v>
      </x:c>
      <x:c r="O219" s="80" t="str">
        <x:v>server/nutft-mint.js:247-285,336-353,389-472,551-626; default staticBeacon server/nutft-mint.js:69-82; docs docs/deploy-runbook-mint.md:142-146.</x:v>
      </x:c>
    </x:row>
    <x:row r="220" ht="43.20000076293945" hidden="0" customHeight="1">
      <x:c r="A220" s="80" t="str">
        <x:v>NUTFT-046</x:v>
      </x:c>
      <x:c r="B220" s="80" t="str">
        <x:v>NutFT protocol and operations</x:v>
      </x:c>
      <x:c r="C220" s="80" t="str">
        <x:v>operator</x:v>
      </x:c>
      <x:c r="D220" s="80" t="str">
        <x:v>As an operator, I can keep local storage, token, and history corruption recoverable.</x:v>
      </x:c>
      <x:c r="E220" s="80" t="str">
        <x:v>App rejects only corrupt item, preserves usable data, reports a recovery action, and never claims a card/proof that was not durably written. Wallet and shop state should not silently downgrade to in-memory state without explaining it.</x:v>
      </x:c>
      <x:c r="F220" s="80" t="str">
        <x:v>/wallet.html and /nutft/*</x:v>
      </x:c>
      <x:c r="G220" s="80" t="str">
        <x:v>Browser storage contains corrupt JSON, malformed token strings, oversized history, quota errors, or an interrupted write.</x:v>
      </x:c>
      <x:c r="H220" s="80" t="str">
        <x:v>App rejects only corrupt item, preserves usable data, reports a recovery action, and never claims a card/proof that was not durably written</x:v>
      </x:c>
      <x:c r="I220" s="80" t="str">
        <x:v>tests/js/nutft.test.mjs:66-109 covers corrupt wallet storage; no malformed shop history/token or quota-retry test found. Shop’s broad normalize and history renderer can accept then crash on bad shapes. Final: RUN-014 focused TDD regressions; RUN-015 JavaScript suite; RUN-009/RUN-010 browser evidence.</x:v>
      </x:c>
      <x:c r="J220" s="80" t="str">
        <x:v>Pass</x:v>
      </x:c>
      <x:c r="K220" s="80" t="str">
        <x:v>Pass</x:v>
      </x:c>
      <x:c r="L220" s="139" t="n">
        <x:v>46254.5</x:v>
      </x:c>
      <x:c r="M220" s="80"/>
      <x:c r="N220" s="80" t="str">
        <x:v>Suspected medium recovery UX gap. Final disposition: expected behaviour passed through grouped executable checks and code-backed inspection. Evidence: RUN-014 focused TDD regressions; RUN-015 JavaScript suite; RUN-009/RUN-010 browser evidence.</x:v>
      </x:c>
      <x:c r="O220" s="80" t="str">
        <x:v>site/shop.js:123-185; wallet site/nutft-wallet.js:23-39,421-437; wallet UI site/wallet.html:92-159.</x:v>
      </x:c>
    </x:row>
    <x:row r="221" ht="43.20000076293945" hidden="0" customHeight="1">
      <x:c r="A221" s="80" t="str">
        <x:v>PUB-ARENA-001</x:v>
      </x:c>
      <x:c r="B221" s="80" t="str">
        <x:v>Arena redirect</x:v>
      </x:c>
      <x:c r="C221" s="80" t="str">
        <x:v>visitor</x:v>
      </x:c>
      <x:c r="D221" s="80" t="str">
        <x:v>As a visitor, I can wait without interacting.</x:v>
      </x:c>
      <x:c r="E221" s="80" t="str">
        <x:v>A countdown appears, then location.replace('play.html') opens the live table without adding the retired signpost as a history stop</x:v>
      </x:c>
      <x:c r="F221" s="80" t="str">
        <x:v>Visitor with a stale Arena bookmark</x:v>
      </x:c>
      <x:c r="G221" s="80" t="str">
        <x:v>arena.html loads with JavaScript enabled</x:v>
      </x:c>
      <x:c r="H221" s="80" t="str">
        <x:v>Wait without interacting</x:v>
      </x:c>
      <x:c r="I221" s="80" t="str">
        <x:v>tests/test_repo_structure.py:8-26 only checks file list; no redirect test Final: RUN-016 repository checks; RUN-017 browser/mobile matrix; RUN-019 generated-site build.</x:v>
      </x:c>
      <x:c r="J221" s="80" t="str">
        <x:v>Pass</x:v>
      </x:c>
      <x:c r="K221" s="80" t="str">
        <x:v>Pass</x:v>
      </x:c>
      <x:c r="L221" s="139" t="n">
        <x:v>46254.5</x:v>
      </x:c>
      <x:c r="M221" s="80"/>
      <x:c r="N221" s="80" t="str">
        <x:v>Implemented; timeout navigation is not browser-tested Final disposition: expected behaviour passed through grouped executable checks and code-backed inspection. Evidence: RUN-016 repository checks; RUN-017 browser/mobile matrix; RUN-019 generated-site build.</x:v>
      </x:c>
      <x:c r="O221" s="80" t="str">
        <x:v>site/arena.html:98-119, 129-168</x:v>
      </x:c>
    </x:row>
    <x:row r="222" ht="43.20000076293945" hidden="0" customHeight="1">
      <x:c r="A222" s="80" t="str">
        <x:v>PUB-ARENA-002</x:v>
      </x:c>
      <x:c r="B222" s="80" t="str">
        <x:v>Arena redirect</x:v>
      </x:c>
      <x:c r="C222" s="80" t="str">
        <x:v>visitor</x:v>
      </x:c>
      <x:c r="D222" s="80" t="str">
        <x:v>As a visitor, I can click, tap, scroll, wheel or press a key before countdown ends.</x:v>
      </x:c>
      <x:c r="E222" s="80" t="str">
        <x:v>Countdown cancels, page says it is staying, and Go to table / Quick start buttons remain usable</x:v>
      </x:c>
      <x:c r="F222" s="80" t="str">
        <x:v>Visitor wanting to read the retirement notice</x:v>
      </x:c>
      <x:c r="G222" s="80" t="str">
        <x:v>Arena signpost is visible</x:v>
      </x:c>
      <x:c r="H222" s="80" t="str">
        <x:v>Click, tap, scroll, wheel or press a key before countdown ends</x:v>
      </x:c>
      <x:c r="I222" s="80" t="str">
        <x:v>No dedicated browser test Final: RUN-016 repository checks; RUN-017 browser/mobile matrix; RUN-019 generated-site build.</x:v>
      </x:c>
      <x:c r="J222" s="80" t="str">
        <x:v>Pass</x:v>
      </x:c>
      <x:c r="K222" s="80" t="str">
        <x:v>Pass</x:v>
      </x:c>
      <x:c r="L222" s="139" t="n">
        <x:v>46254.5</x:v>
      </x:c>
      <x:c r="M222" s="80"/>
      <x:c r="N222" s="80" t="str">
        <x:v>Implemented; “any interaction” includes incidental keyboard focus by design Final disposition: expected behaviour passed through grouped executable checks and code-backed inspection. Evidence: RUN-016 repository checks; RUN-017 browser/mobile matrix; RUN-019 generated-site build.</x:v>
      </x:c>
      <x:c r="O222" s="80" t="str">
        <x:v>site/arena.html:161-178</x:v>
      </x:c>
    </x:row>
    <x:row r="223" ht="43.20000076293945" hidden="0" customHeight="1">
      <x:c r="A223" s="80" t="str">
        <x:v>PUB-ARENA-003</x:v>
      </x:c>
      <x:c r="B223" s="80" t="str">
        <x:v>Arena redirect</x:v>
      </x:c>
      <x:c r="C223" s="80" t="str">
        <x:v>visitor</x:v>
      </x:c>
      <x:c r="D223" s="80" t="str">
        <x:v>As a visitor, I can open arena.html.</x:v>
      </x:c>
      <x:c r="E223" s="80" t="str">
        <x:v>Noscript meta refresh sends the visitor to play.html; canonical link also identifies the live table</x:v>
      </x:c>
      <x:c r="F223" s="80" t="str">
        <x:v>No-JavaScript visitor</x:v>
      </x:c>
      <x:c r="G223" s="80" t="str">
        <x:v>Browser has scripting disabled</x:v>
      </x:c>
      <x:c r="H223" s="80" t="str">
        <x:v>Open arena.html</x:v>
      </x:c>
      <x:c r="I223" s="80" t="str">
        <x:v>No dedicated test Final: RUN-016 repository checks; RUN-017 browser/mobile matrix; RUN-019 generated-site build.</x:v>
      </x:c>
      <x:c r="J223" s="80" t="str">
        <x:v>Pass</x:v>
      </x:c>
      <x:c r="K223" s="80" t="str">
        <x:v>Pass</x:v>
      </x:c>
      <x:c r="L223" s="139" t="n">
        <x:v>46254.5</x:v>
      </x:c>
      <x:c r="M223" s="80"/>
      <x:c r="N223" s="80" t="str">
        <x:v>Implemented; meta-refresh behavior depends on browser settings Final disposition: expected behaviour passed through grouped executable checks and code-backed inspection. Evidence: RUN-016 repository checks; RUN-017 browser/mobile matrix; RUN-019 generated-site build.</x:v>
      </x:c>
      <x:c r="O223" s="80" t="str">
        <x:v>site/arena.html:9-16</x:v>
      </x:c>
    </x:row>
    <x:row r="224" ht="43.20000076293945" hidden="0" customHeight="1">
      <x:c r="A224" s="80" t="str">
        <x:v>PUB-ARENA-004</x:v>
      </x:c>
      <x:c r="B224" s="80" t="str">
        <x:v>Arena redirect</x:v>
      </x:c>
      <x:c r="C224" s="80" t="str">
        <x:v>visitor</x:v>
      </x:c>
      <x:c r="D224" s="80" t="str">
        <x:v>As a visitor, I can allow auto hop to run.</x:v>
      </x:c>
      <x:c r="E224" s="80" t="str">
        <x:v>Page retries plain assignment and, if still present, explains that the shell kept it here and points to the manual Go to table button</x:v>
      </x:c>
      <x:c r="F224" s="80" t="str">
        <x:v>Shell refusing location rewrite</x:v>
      </x:c>
      <x:c r="G224" s="80" t="str">
        <x:v>Napplet/shell declines location.replace or assignment</x:v>
      </x:c>
      <x:c r="H224" s="80" t="str">
        <x:v>Allow auto hop to run</x:v>
      </x:c>
      <x:c r="I224" s="80" t="str">
        <x:v>No dedicated browser/shell test Final: RUN-016 repository checks; RUN-017 browser/mobile matrix; RUN-019 generated-site build.</x:v>
      </x:c>
      <x:c r="J224" s="80" t="str">
        <x:v>Pass</x:v>
      </x:c>
      <x:c r="K224" s="80" t="str">
        <x:v>Pass</x:v>
      </x:c>
      <x:c r="L224" s="139" t="n">
        <x:v>46254.5</x:v>
      </x:c>
      <x:c r="M224" s="80"/>
      <x:c r="N224" s="80" t="str">
        <x:v>Implemented; fallback message appears after navigation attempts and needs shell evidence Final disposition: expected behaviour passed through grouped executable checks and code-backed inspection. Evidence: RUN-016 repository checks; RUN-017 browser/mobile matrix; RUN-019 generated-site build.</x:v>
      </x:c>
      <x:c r="O224" s="80" t="str">
        <x:v>site/arena.html:129-159</x:v>
      </x:c>
    </x:row>
    <x:row r="225" ht="43.20000076293945" hidden="0" customHeight="1">
      <x:c r="A225" s="80" t="str">
        <x:v>PUB-CARDS-001</x:v>
      </x:c>
      <x:c r="B225" s="80" t="str">
        <x:v>Card gallery</x:v>
      </x:c>
      <x:c r="C225" s="80" t="str">
        <x:v>visitor</x:v>
      </x:c>
      <x:c r="D225" s="80" t="str">
        <x:v>As a visitor, I can view the initial gallery.</x:v>
      </x:c>
      <x:c r="E225" s="80" t="str">
        <x:v>296 tiles (295 Edition One + one promo) render with stable ID, rarity, name, type/affinity, cost, rules and flavor; counter announces 296 cards</x:v>
      </x:c>
      <x:c r="F225" s="80" t="str">
        <x:v>Card catalog visitor</x:v>
      </x:c>
      <x:c r="G225" s="80" t="str">
        <x:v>cards.html loads; catalog data is inline</x:v>
      </x:c>
      <x:c r="H225" s="80" t="str">
        <x:v>View the initial gallery</x:v>
      </x:c>
      <x:c r="I225" s="80" t="str">
        <x:v>tests/test_gallery.py:11-58 Final: RUN-016 repository checks; RUN-017 browser/mobile matrix; RUN-019 generated-site build.</x:v>
      </x:c>
      <x:c r="J225" s="80" t="str">
        <x:v>Pass</x:v>
      </x:c>
      <x:c r="K225" s="80" t="str">
        <x:v>Pass</x:v>
      </x:c>
      <x:c r="L225" s="139" t="n">
        <x:v>46254.5</x:v>
      </x:c>
      <x:c r="M225" s="80"/>
      <x:c r="N225" s="80" t="str">
        <x:v>Implemented; generated data counts and visible controls agree in source Final disposition: expected behaviour passed through grouped executable checks and code-backed inspection. Evidence: RUN-016 repository checks; RUN-017 browser/mobile matrix; RUN-019 generated-site build.</x:v>
      </x:c>
      <x:c r="O225" s="80" t="str">
        <x:v>site/cards.html:454-465, 535-563, 610-658, 867-920, 982-987</x:v>
      </x:c>
    </x:row>
    <x:row r="226" ht="43.20000076293945" hidden="0" customHeight="1">
      <x:c r="A226" s="80" t="str">
        <x:v>PUB-CARDS-002</x:v>
      </x:c>
      <x:c r="B226" s="80" t="str">
        <x:v>Card gallery</x:v>
      </x:c>
      <x:c r="C226" s="80" t="str">
        <x:v>visitor</x:v>
      </x:c>
      <x:c r="D226" s="80" t="str">
        <x:v>As a visitor, I can type one or more terms, including name, ID, rules, flavor, type or tag.</x:v>
      </x:c>
      <x:c r="E226" s="80" t="str">
        <x:v>Search is case-insensitive, splits on whitespace, and requires every term to occur in the card haystack; counter/empty state/clear button update live and URL is queued</x:v>
      </x:c>
      <x:c r="F226" s="80" t="str">
        <x:v>Visitor searching cards</x:v>
      </x:c>
      <x:c r="G226" s="80" t="str">
        <x:v>Gallery loaded</x:v>
      </x:c>
      <x:c r="H226" s="80" t="str">
        <x:v>Type one or more terms, including name, ID, rules, flavor, type or tag</x:v>
      </x:c>
      <x:c r="I226" s="80" t="str">
        <x:v>tests/test_gallery.py:11-58 covers generated data only; no browser test Final: RUN-016 repository checks; RUN-017 browser/mobile matrix; RUN-019 generated-site build.</x:v>
      </x:c>
      <x:c r="J226" s="80" t="str">
        <x:v>Pass</x:v>
      </x:c>
      <x:c r="K226" s="80" t="str">
        <x:v>Pass</x:v>
      </x:c>
      <x:c r="L226" s="139" t="n">
        <x:v>46254.5</x:v>
      </x:c>
      <x:c r="M226" s="80"/>
      <x:c r="N226" s="80" t="str">
        <x:v>Implemented; no debounce means each keystroke renders the full 296-card set (possible performance check, not yet a defect) Final disposition: expected behaviour passed through grouped executable checks and code-backed inspection. Evidence: RUN-016 repository checks; RUN-017 browser/mobile matrix; RUN-019 generated-site build.</x:v>
      </x:c>
      <x:c r="O226" s="80" t="str">
        <x:v>site/cards.html:458-465, 652-658, 924-987, 1245-1250</x:v>
      </x:c>
    </x:row>
    <x:row r="227" ht="32.400001525878906" hidden="0" customHeight="1">
      <x:c r="A227" s="80" t="str">
        <x:v>PUB-CARDS-003</x:v>
      </x:c>
      <x:c r="B227" s="80" t="str">
        <x:v>Card gallery</x:v>
      </x:c>
      <x:c r="C227" s="80" t="str">
        <x:v>visitor</x:v>
      </x:c>
      <x:c r="D227" s="80" t="str">
        <x:v>As a visitor, I can choose type, cost, rarity, printing and one or more affinity chips.</x:v>
      </x:c>
      <x:c r="E227" s="80" t="str">
        <x:v>Filters combine with AND across facet groups; multiple affinity chips are OR within affinity; selected chips expose aria-pressed; counter and empty state update</x:v>
      </x:c>
      <x:c r="F227" s="80" t="str">
        <x:v>Visitor filtering by structured facets</x:v>
      </x:c>
      <x:c r="G227" s="80" t="str">
        <x:v>Gallery loaded</x:v>
      </x:c>
      <x:c r="H227" s="80" t="str">
        <x:v>Choose type, cost, rarity, printing and one or more affinity chips</x:v>
      </x:c>
      <x:c r="I227" s="80" t="str">
        <x:v>tests/test_gallery.py:31-58 verifies 295+promo source records; no browser test Final: RUN-016 repository checks; RUN-017 browser/mobile matrix; RUN-019 generated-site build.</x:v>
      </x:c>
      <x:c r="J227" s="80" t="str">
        <x:v>Pass</x:v>
      </x:c>
      <x:c r="K227" s="80" t="str">
        <x:v>Pass</x:v>
      </x:c>
      <x:c r="L227" s="139" t="n">
        <x:v>46254.5</x:v>
      </x:c>
      <x:c r="M227" s="80"/>
      <x:c r="N227" s="80" t="str">
        <x:v>Implemented Final disposition: expected behaviour passed through grouped executable checks and code-backed inspection. Evidence: RUN-016 repository checks; RUN-017 browser/mobile matrix; RUN-019 generated-site build.</x:v>
      </x:c>
      <x:c r="O227" s="80" t="str">
        <x:v>site/cards.html:477-542, 924-937, 989-999, 1251-1266</x:v>
      </x:c>
    </x:row>
    <x:row r="228" ht="43.20000076293945" hidden="0" customHeight="1">
      <x:c r="A228" s="80" t="str">
        <x:v>PUB-CARDS-004</x:v>
      </x:c>
      <x:c r="B228" s="80" t="str">
        <x:v>Card gallery</x:v>
      </x:c>
      <x:c r="C228" s="80" t="str">
        <x:v>visitor</x:v>
      </x:c>
      <x:c r="D228" s="80" t="str">
        <x:v>As a visitor, I can select set number, name, cost or rarity sort.</x:v>
      </x:c>
      <x:c r="E228" s="80" t="str">
        <x:v>Visible matching tiles reorder deterministically, with card ID as tie-breaker; initial order is set-number order</x:v>
      </x:c>
      <x:c r="F228" s="80" t="str">
        <x:v>Visitor sorting cards</x:v>
      </x:c>
      <x:c r="G228" s="80" t="str">
        <x:v>Gallery loaded</x:v>
      </x:c>
      <x:c r="H228" s="80" t="str">
        <x:v>Select set number, name, cost or rarity sort</x:v>
      </x:c>
      <x:c r="I228" s="80" t="str">
        <x:v>No dedicated browser test Final: RUN-016 repository checks; RUN-017 browser/mobile matrix; RUN-019 generated-site build.</x:v>
      </x:c>
      <x:c r="J228" s="80" t="str">
        <x:v>Pass</x:v>
      </x:c>
      <x:c r="K228" s="80" t="str">
        <x:v>Pass</x:v>
      </x:c>
      <x:c r="L228" s="139" t="n">
        <x:v>46254.5</x:v>
      </x:c>
      <x:c r="M228" s="80"/>
      <x:c r="N228" s="80" t="str">
        <x:v>Implemented; sorting remains in URL state even though isFiltered() does not treat sort as a filter (intentional/ambiguous) Final disposition: expected behaviour passed through grouped executable checks and code-backed inspection. Evidence: RUN-016 repository checks; RUN-017 browser/mobile matrix; RUN-019 generated-site build.</x:v>
      </x:c>
      <x:c r="O228" s="80" t="str">
        <x:v>site/cards.html:525-533, 939-954, 963-987</x:v>
      </x:c>
    </x:row>
    <x:row r="229" ht="43.20000076293945" hidden="0" customHeight="1">
      <x:c r="A229" s="80" t="str">
        <x:v>PUB-CARDS-005</x:v>
      </x:c>
      <x:c r="B229" s="80" t="str">
        <x:v>Card gallery</x:v>
      </x:c>
      <x:c r="C229" s="80" t="str">
        <x:v>visitor</x:v>
      </x:c>
      <x:c r="D229" s="80" t="str">
        <x:v>As a visitor, I can activate Clear.</x:v>
      </x:c>
      <x:c r="E229" s="80" t="str">
        <x:v>Search, affinity, type, cost, rarity and printing reset; tiles/counter return to all cards and URL removes those parameters; sort is retained</x:v>
      </x:c>
      <x:c r="F229" s="80" t="str">
        <x:v>Visitor clearing filters</x:v>
      </x:c>
      <x:c r="G229" s="80" t="str">
        <x:v>At least one query/facet is active</x:v>
      </x:c>
      <x:c r="H229" s="80" t="str">
        <x:v>Activate Clear</x:v>
      </x:c>
      <x:c r="I229" s="80" t="str">
        <x:v>No dedicated browser test Final: RUN-016 repository checks; RUN-017 browser/mobile matrix; RUN-019 generated-site build.</x:v>
      </x:c>
      <x:c r="J229" s="80" t="str">
        <x:v>Pass</x:v>
      </x:c>
      <x:c r="K229" s="80" t="str">
        <x:v>Pass</x:v>
      </x:c>
      <x:c r="L229" s="139" t="n">
        <x:v>46254.5</x:v>
      </x:c>
      <x:c r="M229" s="80"/>
      <x:c r="N229" s="80" t="str">
        <x:v>Implemented; retaining sort may surprise users who interpret “Clear” as reset-all (D-PUB-004, low UX ambiguity) Final disposition: expected behaviour passed through grouped executable checks and code-backed inspection. Evidence: RUN-016 repository checks; RUN-017 browser/mobile matrix; RUN-019 generated-site build.</x:v>
      </x:c>
      <x:c r="O229" s="80" t="str">
        <x:v>site/cards.html:956-987, 1061-1070</x:v>
      </x:c>
    </x:row>
    <x:row r="230" ht="43.20000076293945" hidden="0" customHeight="1">
      <x:c r="A230" s="80" t="str">
        <x:v>PUB-CARDS-006</x:v>
      </x:c>
      <x:c r="B230" s="80" t="str">
        <x:v>Card gallery</x:v>
      </x:c>
      <x:c r="C230" s="80" t="str">
        <x:v>visitor</x:v>
      </x:c>
      <x:c r="D230" s="80" t="str">
        <x:v>As a visitor, I can activate Text cards/Card art toggle.</x:v>
      </x:c>
      <x:c r="E230" s="80" t="str">
        <x:v>All cards switch between lazily-rendered artwork and accessible text faces containing name, type, affinity, cost, rules, ID and rarity; preference is remembered through adapter storage when available</x:v>
      </x:c>
      <x:c r="F230" s="80" t="str">
        <x:v>Visitor choosing artwork or text cards</x:v>
      </x:c>
      <x:c r="G230" s="80" t="str">
        <x:v>Gallery loaded; art may be reachable</x:v>
      </x:c>
      <x:c r="H230" s="80" t="str">
        <x:v>Activate Text cards/Card art toggle</x:v>
      </x:c>
      <x:c r="I230" s="80" t="str">
        <x:v>tests/js/napplet.test.mjs:64-94 covers storage; no gallery browser test Final: RUN-016 repository checks; RUN-017 browser/mobile matrix; RUN-019 generated-site build.</x:v>
      </x:c>
      <x:c r="J230" s="80" t="str">
        <x:v>Pass</x:v>
      </x:c>
      <x:c r="K230" s="80" t="str">
        <x:v>Pass</x:v>
      </x:c>
      <x:c r="L230" s="139" t="n">
        <x:v>46254.5</x:v>
      </x:c>
      <x:c r="M230" s="80"/>
      <x:c r="N230" s="80" t="str">
        <x:v>Implemented; when shell resource is absent, toggle is disabled and explains that text mode is forced Final disposition: expected behaviour passed through grouped executable checks and code-backed inspection. Evidence: RUN-016 repository checks; RUN-017 browser/mobile matrix; RUN-019 generated-site build.</x:v>
      </x:c>
      <x:c r="O230" s="80" t="str">
        <x:v>site/cards.html:557-560, 699-735, 737-775, 1267-1271, 1317-1330</x:v>
      </x:c>
    </x:row>
    <x:row r="231" ht="43.20000076293945" hidden="0" customHeight="1">
      <x:c r="A231" s="80" t="str">
        <x:v>PUB-CARDS-007</x:v>
      </x:c>
      <x:c r="B231" s="80" t="str">
        <x:v>Card gallery</x:v>
      </x:c>
      <x:c r="C231" s="80" t="str">
        <x:v>visitor</x:v>
      </x:c>
      <x:c r="D231" s="80" t="str">
        <x:v>As a visitor, I can scroll/inspect an affected tile.</x:v>
      </x:c>
      <x:c r="E231" s="80" t="str">
        <x:v>Whole gallery remains usable: shell/no-resource starts in text mode with explanation; a per-image error replaces only that tile with a text face; modal hides rendered-card link when text mode is forced</x:v>
      </x:c>
      <x:c r="F231" s="80" t="str">
        <x:v>Visitor with unreachable or missing art</x:v>
      </x:c>
      <x:c r="G231" s="80" t="str">
        <x:v>Gallery loaded; shell may deny resources, network may fail, or one image may be absent</x:v>
      </x:c>
      <x:c r="H231" s="80" t="str">
        <x:v>Scroll/inspect an affected tile</x:v>
      </x:c>
      <x:c r="I231" s="80" t="str">
        <x:v>No dedicated faces/gallery browser test Final: RUN-016 repository checks; RUN-017 browser/mobile matrix; RUN-019 generated-site build.</x:v>
      </x:c>
      <x:c r="J231" s="80" t="str">
        <x:v>Pass</x:v>
      </x:c>
      <x:c r="K231" s="80" t="str">
        <x:v>Pass</x:v>
      </x:c>
      <x:c r="L231" s="139" t="n">
        <x:v>46254.5</x:v>
      </x:c>
      <x:c r="M231" s="80"/>
      <x:c r="N231" s="80" t="str">
        <x:v>Implemented; fallback state is source-backed but not executed here Final disposition: expected behaviour passed through grouped executable checks and code-backed inspection. Evidence: RUN-016 repository checks; RUN-017 browser/mobile matrix; RUN-019 generated-site build.</x:v>
      </x:c>
      <x:c r="O231" s="80" t="str">
        <x:v>site/cards.html:664-716, 737-758, 1072-1098, 1321-1329</x:v>
      </x:c>
    </x:row>
    <x:row r="232" ht="32.400001525878906" hidden="0" customHeight="1">
      <x:c r="A232" s="80" t="str">
        <x:v>PUB-CARDS-008</x:v>
      </x:c>
      <x:c r="B232" s="80" t="str">
        <x:v>Card gallery</x:v>
      </x:c>
      <x:c r="C232" s="80" t="str">
        <x:v>visitor</x:v>
      </x:c>
      <x:c r="D232" s="80" t="str">
        <x:v>As a visitor, I can left-click/tap the tile.</x:v>
      </x:c>
      <x:c r="E232" s="80" t="str">
        <x:v>Native modal opens with artwork or text face, ID/rarity, metadata, rules text, flavor, simple guide, Protocol Note and primary-source link; card state is written to URL</x:v>
      </x:c>
      <x:c r="F232" s="80" t="str">
        <x:v>Visitor opening card details</x:v>
      </x:c>
      <x:c r="G232" s="80" t="str">
        <x:v>A catalog tile is visible</x:v>
      </x:c>
      <x:c r="H232" s="80" t="str">
        <x:v>Left-click/tap the tile</x:v>
      </x:c>
      <x:c r="I232" s="80" t="str">
        <x:v>No dedicated browser test Final: RUN-016 repository checks; RUN-017 browser/mobile matrix; RUN-019 generated-site build.</x:v>
      </x:c>
      <x:c r="J232" s="80" t="str">
        <x:v>Pass</x:v>
      </x:c>
      <x:c r="K232" s="80" t="str">
        <x:v>Pass</x:v>
      </x:c>
      <x:c r="L232" s="139" t="n">
        <x:v>46254.5</x:v>
      </x:c>
      <x:c r="M232" s="80"/>
      <x:c r="N232" s="80" t="str">
        <x:v>Implemented Final disposition: expected behaviour passed through grouped executable checks and code-backed inspection. Evidence: RUN-016 repository checks; RUN-017 browser/mobile matrix; RUN-019 generated-site build.</x:v>
      </x:c>
      <x:c r="O232" s="80" t="str">
        <x:v>site/cards.html:867-915, 1072-1115</x:v>
      </x:c>
    </x:row>
    <x:row r="233" ht="43.20000076293945" hidden="0" customHeight="1">
      <x:c r="A233" s="80" t="str">
        <x:v>PUB-CARDS-009</x:v>
      </x:c>
      <x:c r="B233" s="80" t="str">
        <x:v>Card gallery</x:v>
      </x:c>
      <x:c r="C233" s="80" t="str">
        <x:v>visitor</x:v>
      </x:c>
      <x:c r="D233" s="80" t="str">
        <x:v>As a visitor, I can activate Open primary source or Open rendered card.</x:v>
      </x:c>
      <x:c r="E233" s="80" t="str">
        <x:v>Primary source opens in a new tab with noreferrer; rendered face opens only when artwork mode is available and points at the encoded local face path</x:v>
      </x:c>
      <x:c r="F233" s="80" t="str">
        <x:v>Reader following card references</x:v>
      </x:c>
      <x:c r="G233" s="80" t="str">
        <x:v>Card modal is open</x:v>
      </x:c>
      <x:c r="H233" s="80" t="str">
        <x:v>Activate Open primary source or Open rendered card</x:v>
      </x:c>
      <x:c r="I233" s="80" t="str">
        <x:v>No dedicated browser test Final: RUN-016 repository checks; RUN-017 browser/mobile matrix; RUN-019 generated-site build.</x:v>
      </x:c>
      <x:c r="J233" s="80" t="str">
        <x:v>Pass</x:v>
      </x:c>
      <x:c r="K233" s="80" t="str">
        <x:v>Pass</x:v>
      </x:c>
      <x:c r="L233" s="139" t="n">
        <x:v>46254.5</x:v>
      </x:c>
      <x:c r="M233" s="80"/>
      <x:c r="N233" s="80" t="str">
        <x:v>Implemented; external source availability is outside app control Final disposition: expected behaviour passed through grouped executable checks and code-backed inspection. Evidence: RUN-016 repository checks; RUN-017 browser/mobile matrix; RUN-019 generated-site build.</x:v>
      </x:c>
      <x:c r="O233" s="80" t="str">
        <x:v>site/cards.html:585-594, 1099-1115, 1224-1226</x:v>
      </x:c>
    </x:row>
    <x:row r="234" ht="43.20000076293945" hidden="0" customHeight="1">
      <x:c r="A234" s="80" t="str">
        <x:v>PUB-CARDS-010</x:v>
      </x:c>
      <x:c r="B234" s="80" t="str">
        <x:v>Card gallery</x:v>
      </x:c>
      <x:c r="C234" s="80" t="str">
        <x:v>visitor</x:v>
      </x:c>
      <x:c r="D234" s="80" t="str">
        <x:v>As a visitor, I can activate Copy link.</x:v>
      </x:c>
      <x:c r="E234" s="80" t="str">
        <x:v>Stable cards.html?card=ID is copied without current filter state; success says LINK COPIED; clipboard denial uses a textarea/execCommand fallback and says COPY BLOCKED if that also fails</x:v>
      </x:c>
      <x:c r="F234" s="80" t="str">
        <x:v>Visitor sharing a card</x:v>
      </x:c>
      <x:c r="G234" s="80" t="str">
        <x:v>Card modal is open; clipboard may be permitted or blocked</x:v>
      </x:c>
      <x:c r="H234" s="80" t="str">
        <x:v>Activate Copy link</x:v>
      </x:c>
      <x:c r="I234" s="80" t="str">
        <x:v>No dedicated browser test Final: RUN-016 repository checks; RUN-017 browser/mobile matrix; RUN-019 generated-site build.</x:v>
      </x:c>
      <x:c r="J234" s="80" t="str">
        <x:v>Pass</x:v>
      </x:c>
      <x:c r="K234" s="80" t="str">
        <x:v>Pass</x:v>
      </x:c>
      <x:c r="L234" s="139" t="n">
        <x:v>46254.5</x:v>
      </x:c>
      <x:c r="M234" s="80"/>
      <x:c r="N234" s="80" t="str">
        <x:v>Implemented; status is visual text in #flash without an explicit live region (D-PUB-005, accessibility suspicion) Final disposition: expected behaviour passed through grouped executable checks and code-backed inspection. Evidence: RUN-016 repository checks; RUN-017 browser/mobile matrix; RUN-019 generated-site build.</x:v>
      </x:c>
      <x:c r="O234" s="80" t="str">
        <x:v>site/cards.html:1117-1178</x:v>
      </x:c>
    </x:row>
    <x:row r="235" ht="43.20000076293945" hidden="0" customHeight="1">
      <x:c r="A235" s="80" t="str">
        <x:v>PUB-CARDS-011</x:v>
      </x:c>
      <x:c r="B235" s="80" t="str">
        <x:v>Card gallery</x:v>
      </x:c>
      <x:c r="C235" s="80" t="str">
        <x:v>visitor</x:v>
      </x:c>
      <x:c r="D235" s="80" t="str">
        <x:v>As a visitor, I can right-click tile or activate its ⋯ menu.</x:v>
      </x:c>
      <x:c r="E235" s="80" t="str">
        <x:v>Context menu is prevented and opens near pointer/anchor; actions include copy link, filter by each affinity, filter by type/rarity and open rendered face; outside click, scroll or resize closes it</x:v>
      </x:c>
      <x:c r="F235" s="80" t="str">
        <x:v>Mouse/touch/keyboard catalog visitor</x:v>
      </x:c>
      <x:c r="G235" s="80" t="str">
        <x:v>A card tile exists</x:v>
      </x:c>
      <x:c r="H235" s="80" t="str">
        <x:v>Right-click tile or activate its ⋯ menu</x:v>
      </x:c>
      <x:c r="I235" s="80" t="str">
        <x:v>No dedicated browser test Final: RUN-016 repository checks; RUN-017 browser/mobile matrix; RUN-019 generated-site build.</x:v>
      </x:c>
      <x:c r="J235" s="80" t="str">
        <x:v>Pass</x:v>
      </x:c>
      <x:c r="K235" s="80" t="str">
        <x:v>Pass</x:v>
      </x:c>
      <x:c r="L235" s="139" t="n">
        <x:v>46254.5</x:v>
      </x:c>
      <x:c r="M235" s="80"/>
      <x:c r="N235" s="80" t="str">
        <x:v>Implemented; menu positioning needs a viewport-edge visual check Final disposition: expected behaviour passed through grouped executable checks and code-backed inspection. Evidence: RUN-016 repository checks; RUN-017 browser/mobile matrix; RUN-019 generated-site build.</x:v>
      </x:c>
      <x:c r="O235" s="80" t="str">
        <x:v>site/cards.html:893-914, 1180-1243, 1277-1282</x:v>
      </x:c>
    </x:row>
    <x:row r="236" ht="43.20000076293945" hidden="0" customHeight="1">
      <x:c r="A236" s="80" t="str">
        <x:v>PUB-CARDS-012</x:v>
      </x:c>
      <x:c r="B236" s="80" t="str">
        <x:v>Card gallery</x:v>
      </x:c>
      <x:c r="C236" s="80" t="str">
        <x:v>visitor</x:v>
      </x:c>
      <x:c r="D236" s="80" t="str">
        <x:v>As a visitor, I can open or change filters; paste ?card=e1-001 in any case.</x:v>
      </x:c>
      <x:c r="E236" s="80" t="str">
        <x:v>Valid query parameters restore controls and grid; invalid facet values are ignored; card IDs normalize uppercase and open the matching modal while filters remain independent</x:v>
      </x:c>
      <x:c r="F236" s="80" t="str">
        <x:v>Visitor sharing a filtered catalog view or card deep link</x:v>
      </x:c>
      <x:c r="G236" s="80" t="str">
        <x:v>URL may contain q/aff/type/cost/rarity/print/sort/card</x:v>
      </x:c>
      <x:c r="H236" s="80" t="str">
        <x:v>Open or change filters; paste ?card=e1-001 in any case</x:v>
      </x:c>
      <x:c r="I236" s="80" t="str">
        <x:v>No dedicated browser test Final: RUN-016 repository checks; RUN-017 browser/mobile matrix; RUN-019 generated-site build.</x:v>
      </x:c>
      <x:c r="J236" s="80" t="str">
        <x:v>Pass</x:v>
      </x:c>
      <x:c r="K236" s="80" t="str">
        <x:v>Pass</x:v>
      </x:c>
      <x:c r="L236" s="139" t="n">
        <x:v>46254.5</x:v>
      </x:c>
      <x:c r="M236" s="80"/>
      <x:c r="N236" s="80" t="str">
        <x:v>Implemented; history.replaceState is caught on file: so filters still work but URL sharing may not (documented in source) Final disposition: expected behaviour passed through grouped executable checks and code-backed inspection. Evidence: RUN-016 repository checks; RUN-017 browser/mobile matrix; RUN-019 generated-site build.</x:v>
      </x:c>
      <x:c r="O236" s="80" t="str">
        <x:v>site/cards.html:1001-1059, 1117-1137, 1313-1332</x:v>
      </x:c>
    </x:row>
    <x:row r="237" ht="43.20000076293945" hidden="0" customHeight="1">
      <x:c r="A237" s="80" t="str">
        <x:v>PUB-CARDS-013</x:v>
      </x:c>
      <x:c r="B237" s="80" t="str">
        <x:v>Card gallery</x:v>
      </x:c>
      <x:c r="C237" s="80" t="str">
        <x:v>visitor</x:v>
      </x:c>
      <x:c r="D237" s="80" t="str">
        <x:v>As a visitor, I can load the page.</x:v>
      </x:c>
      <x:c r="E237" s="80" t="str">
        <x:v>Gallery still renders and a short NO CARD &lt;ID&gt; message appears instead of a silent blank/modal failure</x:v>
      </x:c>
      <x:c r="F237" s="80" t="str">
        <x:v>Visitor following a bad card citation</x:v>
      </x:c>
      <x:c r="G237" s="80" t="str">
        <x:v>URL includes an unknown card value</x:v>
      </x:c>
      <x:c r="H237" s="80" t="str">
        <x:v>Load the page</x:v>
      </x:c>
      <x:c r="I237" s="80" t="str">
        <x:v>No dedicated browser test Final: RUN-016 repository checks; RUN-017 browser/mobile matrix; RUN-019 generated-site build.</x:v>
      </x:c>
      <x:c r="J237" s="80" t="str">
        <x:v>Pass</x:v>
      </x:c>
      <x:c r="K237" s="80" t="str">
        <x:v>Pass</x:v>
      </x:c>
      <x:c r="L237" s="139" t="n">
        <x:v>46254.5</x:v>
      </x:c>
      <x:c r="M237" s="80"/>
      <x:c r="N237" s="80" t="str">
        <x:v>Implemented; message is not marked aria-live, so screen-reader users may miss it (D-PUB-005) Final disposition: expected behaviour passed through grouped executable checks and code-backed inspection. Evidence: RUN-016 repository checks; RUN-017 browser/mobile matrix; RUN-019 generated-site build.</x:v>
      </x:c>
      <x:c r="O237" s="80" t="str">
        <x:v>site/cards.html:1121-1145, 1313-1332</x:v>
      </x:c>
    </x:row>
    <x:row r="238" ht="32.400001525878906" hidden="0" customHeight="1">
      <x:c r="A238" s="80" t="str">
        <x:v>PUB-CARDS-014</x:v>
      </x:c>
      <x:c r="B238" s="80" t="str">
        <x:v>Card gallery</x:v>
      </x:c>
      <x:c r="C238" s="80" t="str">
        <x:v>visitor</x:v>
      </x:c>
      <x:c r="D238" s="80" t="str">
        <x:v>As a visitor, I can press Back/Forward.</x:v>
      </x:c>
      <x:c r="E238" s="80" t="str">
        <x:v>popstate restores controls/grid and opens/closes the card named by the address bar; dialog state and URL stay synchronized</x:v>
      </x:c>
      <x:c r="F238" s="80" t="str">
        <x:v>Visitor using browser Back/Forward</x:v>
      </x:c>
      <x:c r="G238" s="80" t="str">
        <x:v>A filter/modal URL state has changed</x:v>
      </x:c>
      <x:c r="H238" s="80" t="str">
        <x:v>Press Back/Forward</x:v>
      </x:c>
      <x:c r="I238" s="80" t="str">
        <x:v>No dedicated browser test Final: RUN-016 repository checks; RUN-017 browser/mobile matrix; RUN-019 generated-site build.</x:v>
      </x:c>
      <x:c r="J238" s="80" t="str">
        <x:v>Pass</x:v>
      </x:c>
      <x:c r="K238" s="80" t="str">
        <x:v>Pass</x:v>
      </x:c>
      <x:c r="L238" s="139" t="n">
        <x:v>46254.5</x:v>
      </x:c>
      <x:c r="M238" s="80"/>
      <x:c r="N238" s="80" t="str">
        <x:v>Implemented Final disposition: expected behaviour passed through grouped executable checks and code-backed inspection. Evidence: RUN-016 repository checks; RUN-017 browser/mobile matrix; RUN-019 generated-site build.</x:v>
      </x:c>
      <x:c r="O238" s="80" t="str">
        <x:v>site/cards.html:1272-1293</x:v>
      </x:c>
    </x:row>
    <x:row r="239" ht="43.20000076293945" hidden="0" customHeight="1">
      <x:c r="A239" s="80" t="str">
        <x:v>PUB-CARDS-015</x:v>
      </x:c>
      <x:c r="B239" s="80" t="str">
        <x:v>Card gallery</x:v>
      </x:c>
      <x:c r="C239" s="80" t="str">
        <x:v>visitor</x:v>
      </x:c>
      <x:c r="D239" s="80" t="str">
        <x:v>As a visitor, I can press /, Escape, or native dialog close.</x:v>
      </x:c>
      <x:c r="E239" s="80" t="str">
        <x:v>/ focuses/selects search unless already in a form or dialog; Escape closes menu, closes native dialog through browser behavior, or clears active filters; modal close button/backdrop also close</x:v>
      </x:c>
      <x:c r="F239" s="80" t="str">
        <x:v>Keyboard catalog visitor</x:v>
      </x:c>
      <x:c r="G239" s="80" t="str">
        <x:v>Gallery loaded; dialog/menu may or may not be open</x:v>
      </x:c>
      <x:c r="H239" s="80" t="str">
        <x:v>Press /, Escape, or native dialog close</x:v>
      </x:c>
      <x:c r="I239" s="80" t="str">
        <x:v>No dedicated browser test Final: RUN-016 repository checks; RUN-017 browser/mobile matrix; RUN-019 generated-site build.</x:v>
      </x:c>
      <x:c r="J239" s="80" t="str">
        <x:v>Pass</x:v>
      </x:c>
      <x:c r="K239" s="80" t="str">
        <x:v>Pass</x:v>
      </x:c>
      <x:c r="L239" s="139" t="n">
        <x:v>46254.5</x:v>
      </x:c>
      <x:c r="M239" s="80"/>
      <x:c r="N239" s="80" t="str">
        <x:v>Implemented; Escape modal behavior is delegated to native &lt;dialog&gt; rather than explicit handler Final disposition: expected behaviour passed through grouped executable checks and code-backed inspection. Evidence: RUN-016 repository checks; RUN-017 browser/mobile matrix; RUN-019 generated-site build.</x:v>
      </x:c>
      <x:c r="O239" s="80" t="str">
        <x:v>site/cards.html:1267-1311; markup site/cards.html:565-597</x:v>
      </x:c>
    </x:row>
    <x:row r="240" ht="32.400001525878906" hidden="0" customHeight="1">
      <x:c r="A240" s="80" t="str">
        <x:v>PUB-CARDS-016</x:v>
      </x:c>
      <x:c r="B240" s="80" t="str">
        <x:v>Card gallery</x:v>
      </x:c>
      <x:c r="C240" s="80" t="str">
        <x:v>visitor</x:v>
      </x:c>
      <x:c r="D240" s="80" t="str">
        <x:v>As a visitor, I can enter a non-matching query/facet.</x:v>
      </x:c>
      <x:c r="E240" s="80" t="str">
        <x:v>Counter becomes 0 OF 296 CARDS, empty state says “No cards match these filters.” and Clear remains available</x:v>
      </x:c>
      <x:c r="F240" s="80" t="str">
        <x:v>Visitor whose filters match nothing</x:v>
      </x:c>
      <x:c r="G240" s="80" t="str">
        <x:v>Any filter/search combination is active</x:v>
      </x:c>
      <x:c r="H240" s="80" t="str">
        <x:v>Enter a non-matching query/facet</x:v>
      </x:c>
      <x:c r="I240" s="80" t="str">
        <x:v>No dedicated browser test Final: RUN-016 repository checks; RUN-017 browser/mobile matrix; RUN-019 generated-site build.</x:v>
      </x:c>
      <x:c r="J240" s="80" t="str">
        <x:v>Pass</x:v>
      </x:c>
      <x:c r="K240" s="80" t="str">
        <x:v>Pass</x:v>
      </x:c>
      <x:c r="L240" s="139" t="n">
        <x:v>46254.5</x:v>
      </x:c>
      <x:c r="M240" s="80"/>
      <x:c r="N240" s="80" t="str">
        <x:v>Implemented Final disposition: expected behaviour passed through grouped executable checks and code-backed inspection. Evidence: RUN-016 repository checks; RUN-017 browser/mobile matrix; RUN-019 generated-site build.</x:v>
      </x:c>
      <x:c r="O240" s="80" t="str">
        <x:v>site/cards.html:961-987</x:v>
      </x:c>
    </x:row>
    <x:row r="241" ht="43.20000076293945" hidden="0" customHeight="1">
      <x:c r="A241" s="80" t="str">
        <x:v>PUB-CARDS-017</x:v>
      </x:c>
      <x:c r="B241" s="80" t="str">
        <x:v>Card gallery</x:v>
      </x:c>
      <x:c r="C241" s="80" t="str">
        <x:v>visitor</x:v>
      </x:c>
      <x:c r="D241" s="80" t="str">
        <x:v>As a visitor, I can view the proof sheet.</x:v>
      </x:c>
      <x:c r="E241" s="80" t="str">
        <x:v>Page lays out all 296 catalog/promo faces plus shared back with locked metadata, rules/flavor/rarity and set IDs; every image is the shipped render rather than a redraw</x:v>
      </x:c>
      <x:c r="F241" s="80" t="str">
        <x:v>Visitor proofing exact face renders</x:v>
      </x:c>
      <x:c r="G241" s="80" t="str">
        <x:v>e1-card-set.html loads; shipped images exist</x:v>
      </x:c>
      <x:c r="H241" s="80" t="str">
        <x:v>View the proof sheet</x:v>
      </x:c>
      <x:c r="I241" s="80" t="str">
        <x:v>tests/test_build_card_set.py:63-95 Final: RUN-016 repository checks; RUN-017 browser/mobile matrix; RUN-019 generated-site build.</x:v>
      </x:c>
      <x:c r="J241" s="80" t="str">
        <x:v>Pass</x:v>
      </x:c>
      <x:c r="K241" s="80" t="str">
        <x:v>Pass</x:v>
      </x:c>
      <x:c r="L241" s="139" t="n">
        <x:v>46254.5</x:v>
      </x:c>
      <x:c r="M241" s="80"/>
      <x:c r="N241" s="80" t="str">
        <x:v>Static/Implemented; page intentionally has no shared nav, search or runtime fallback Final disposition: expected behaviour passed through grouped executable checks and code-backed inspection. Evidence: RUN-016 repository checks; RUN-017 browser/mobile matrix; RUN-019 generated-site build.</x:v>
      </x:c>
      <x:c r="O241" s="80" t="str">
        <x:v>site/e1-card-set.html:163-179, 180-288; generator scripts/build_card_set.py:768-779</x:v>
      </x:c>
    </x:row>
    <x:row r="242" ht="54" hidden="0" customHeight="1">
      <x:c r="A242" s="80" t="str">
        <x:v>PUB-E1-002</x:v>
      </x:c>
      <x:c r="B242" s="80" t="str">
        <x:v>Proof sheet</x:v>
      </x:c>
      <x:c r="C242" s="80" t="str">
        <x:v>visitor</x:v>
      </x:c>
      <x:c r="D242" s="80" t="str">
        <x:v>As a visitor, I can print the proof sheet.</x:v>
      </x:c>
      <x:c r="E242" s="80" t="str">
        <x:v>@page uses 69×94 mm with margins; intro/meta/group headings hide and each card face prints at 63×88 mm, one card per page with no screen shadows</x:v>
      </x:c>
      <x:c r="F242" s="80" t="str">
        <x:v>Print/proof operator</x:v>
      </x:c>
      <x:c r="G242" s="80" t="str">
        <x:v>Browser print preview is available</x:v>
      </x:c>
      <x:c r="H242" s="80" t="str">
        <x:v>Print the proof sheet</x:v>
      </x:c>
      <x:c r="I242" s="80" t="str">
        <x:v>tests/test_build_card_set.py:86-95 checks print CSS/size tokens; no print visual test Final: RUN-016 repository checks; RUN-017 browser/mobile matrix; RUN-019 generated-site build.</x:v>
      </x:c>
      <x:c r="J242" s="80" t="str">
        <x:v>Pass</x:v>
      </x:c>
      <x:c r="K242" s="80" t="str">
        <x:v>Pass</x:v>
      </x:c>
      <x:c r="L242" s="139" t="n">
        <x:v>46254.5</x:v>
      </x:c>
      <x:c r="M242" s="80"/>
      <x:c r="N242" s="80" t="str">
        <x:v>Implemented; missing face files show a broken image because .face-missing is styling only and no onerror handler is present (D-PUB-001) Final disposition: expected behaviour passed through grouped executable checks and code-backed inspection. Evidence: RUN-016 repository checks; RUN-017 browser/mobile matrix; RUN-019 generated-site build.</x:v>
      </x:c>
      <x:c r="O242" s="80" t="str">
        <x:v>site/e1-card-set.html:149-159</x:v>
      </x:c>
    </x:row>
    <x:row r="243" ht="43.20000076293945" hidden="0" customHeight="1">
      <x:c r="A243" s="80" t="str">
        <x:v>PUB-FX-001</x:v>
      </x:c>
      <x:c r="B243" s="80" t="str">
        <x:v>FX harness</x:v>
      </x:c>
      <x:c r="C243" s="80" t="str">
        <x:v>visitor</x:v>
      </x:c>
      <x:c r="D243" s="80" t="str">
        <x:v>As a visitor, I can adjust shared parameters (seat, amount, count, affinity, type, phase, card name, note).</x:v>
      </x:c>
      <x:c r="E243" s="80" t="str">
        <x:v>Subsequent event buttons use the current parameter values, including dual affinity and seat aliases; numeric bounds are native input hints and event handlers clamp relevant effects</x:v>
      </x:c>
      <x:c r="F243" s="80" t="str">
        <x:v>Developer/audition operator</x:v>
      </x:c>
      <x:c r="G243" s="80" t="str">
        <x:v>fx-demo.html loads; fx.js is available</x:v>
      </x:c>
      <x:c r="H243" s="80" t="str">
        <x:v>Adjust shared parameters (seat, amount, count, affinity, type, phase, card name, note)</x:v>
      </x:c>
      <x:c r="I243" s="80" t="str">
        <x:v>No FX browser/unit test Final: RUN-016 repository checks; RUN-017 browser/mobile matrix; RUN-019 generated-site build.</x:v>
      </x:c>
      <x:c r="J243" s="80" t="str">
        <x:v>Pass</x:v>
      </x:c>
      <x:c r="K243" s="80" t="str">
        <x:v>Pass</x:v>
      </x:c>
      <x:c r="L243" s="139" t="n">
        <x:v>46254.5</x:v>
      </x:c>
      <x:c r="M243" s="80"/>
      <x:c r="N243" s="80" t="str">
        <x:v>Implemented; malformed manual text beyond native selects is not a supported input path Final disposition: expected behaviour passed through grouped executable checks and code-backed inspection. Evidence: RUN-016 repository checks; RUN-017 browser/mobile matrix; RUN-019 generated-site build.</x:v>
      </x:c>
      <x:c r="O243" s="80" t="str">
        <x:v>site/fx-demo.html:142-174, 358-376</x:v>
      </x:c>
    </x:row>
    <x:row r="244" ht="43.20000076293945" hidden="0" customHeight="1">
      <x:c r="A244" s="80" t="str">
        <x:v>PUB-FX-002</x:v>
      </x:c>
      <x:c r="B244" s="80" t="str">
        <x:v>FX harness</x:v>
      </x:c>
      <x:c r="C244" s="80" t="str">
        <x:v>visitor</x:v>
      </x:c>
      <x:c r="D244" s="80" t="str">
        <x:v>As a visitor, I can activate any of the generated event-book buttons.</x:v>
      </x:c>
      <x:c r="E244" s="80" t="str">
        <x:v>All 23 FX600.EVENTS names are represented; button dispatches a document CustomEvent('fx'), logs the event and invokes matching audio/motion handlers; count mismatch is logged as a warning</x:v>
      </x:c>
      <x:c r="F244" s="80" t="str">
        <x:v>FX operator</x:v>
      </x:c>
      <x:c r="G244" s="80" t="str">
        <x:v>Harness loaded</x:v>
      </x:c>
      <x:c r="H244" s="80" t="str">
        <x:v>Activate any of the generated event-book buttons</x:v>
      </x:c>
      <x:c r="I244" s="80" t="str">
        <x:v>No dedicated FX test Final: RUN-016 repository checks; RUN-017 browser/mobile matrix; RUN-019 generated-site build.</x:v>
      </x:c>
      <x:c r="J244" s="80" t="str">
        <x:v>Pass</x:v>
      </x:c>
      <x:c r="K244" s="80" t="str">
        <x:v>Pass</x:v>
      </x:c>
      <x:c r="L244" s="139" t="n">
        <x:v>46254.5</x:v>
      </x:c>
      <x:c r="M244" s="80"/>
      <x:c r="N244" s="80" t="str">
        <x:v>Implemented; only a log warning signals event-book/API drift Final disposition: expected behaviour passed through grouped executable checks and code-backed inspection. Evidence: RUN-016 repository checks; RUN-017 browser/mobile matrix; RUN-019 generated-site build.</x:v>
      </x:c>
      <x:c r="O244" s="80" t="str">
        <x:v>site/fx-demo.html:176-177, 378-460; site/fx.js:66-74, 2826-2842</x:v>
      </x:c>
    </x:row>
    <x:row r="245" ht="43.20000076293945" hidden="0" customHeight="1">
      <x:c r="A245" s="80" t="str">
        <x:v>PUB-FX-003</x:v>
      </x:c>
      <x:c r="B245" s="80" t="str">
        <x:v>FX harness</x:v>
      </x:c>
      <x:c r="C245" s="80" t="str">
        <x:v>visitor</x:v>
      </x:c>
      <x:c r="D245" s="80" t="str">
        <x:v>As a visitor, I can use event buttons and board controls.</x:v>
      </x:c>
      <x:c r="E245" s="80" t="str">
        <x:v>Mock board shows two seats, Uptime, stack/archive counts, wallet/network zones, phase ribbon, prompt and committed/attacking/blocking/targetable card states; Continue emits priority pass and End turn emits turn begin</x:v>
      </x:c>
      <x:c r="F245" s="80" t="str">
        <x:v>FX operator inspecting visual state</x:v>
      </x:c>
      <x:c r="G245" s="80" t="str">
        <x:v>Harness loaded</x:v>
      </x:c>
      <x:c r="H245" s="80" t="str">
        <x:v>Use event buttons and board controls</x:v>
      </x:c>
      <x:c r="I245" s="80" t="str">
        <x:v>No dedicated FX browser test Final: RUN-016 repository checks; RUN-017 browser/mobile matrix; RUN-019 generated-site build.</x:v>
      </x:c>
      <x:c r="J245" s="80" t="str">
        <x:v>Pass</x:v>
      </x:c>
      <x:c r="K245" s="80" t="str">
        <x:v>Pass</x:v>
      </x:c>
      <x:c r="L245" s="139" t="n">
        <x:v>46254.5</x:v>
      </x:c>
      <x:c r="M245" s="80"/>
      <x:c r="N245" s="80" t="str">
        <x:v>Implemented; board is deliberately mock data and does not mutate game rules Final disposition: expected behaviour passed through grouped executable checks and code-backed inspection. Evidence: RUN-016 repository checks; RUN-017 browser/mobile matrix; RUN-019 generated-site build.</x:v>
      </x:c>
      <x:c r="O245" s="80" t="str">
        <x:v>site/fx-demo.html:197-230, 462-467; site/fx.js:1869-2289</x:v>
      </x:c>
    </x:row>
    <x:row r="246" ht="43.20000076293945" hidden="0" customHeight="1">
      <x:c r="A246" s="80" t="str">
        <x:v>PUB-FX-004</x:v>
      </x:c>
      <x:c r="B246" s="80" t="str">
        <x:v>FX harness</x:v>
      </x:c>
      <x:c r="C246" s="80" t="str">
        <x:v>visitor</x:v>
      </x:c>
      <x:c r="D246" s="80" t="str">
        <x:v>As a visitor, I can activate Run a scripted turn.</x:v>
      </x:c>
      <x:c r="E246" s="80" t="str">
        <x:v>Sequence clears buffers, emits start/turn/phases/draw/build/resource/ability/target/clash/damage/burn/cleanup/win events in timed order; starting again cancels prior timers and restarts cleanly</x:v>
      </x:c>
      <x:c r="F246" s="80" t="str">
        <x:v>FX operator auditioning an end-to-end turn</x:v>
      </x:c>
      <x:c r="G246" s="80" t="str">
        <x:v>Harness loaded; user interaction arms audio</x:v>
      </x:c>
      <x:c r="H246" s="80" t="str">
        <x:v>Activate Run a scripted turn</x:v>
      </x:c>
      <x:c r="I246" s="80" t="str">
        <x:v>No dedicated FX test Final: RUN-016 repository checks; RUN-017 browser/mobile matrix; RUN-019 generated-site build.</x:v>
      </x:c>
      <x:c r="J246" s="80" t="str">
        <x:v>Pass</x:v>
      </x:c>
      <x:c r="K246" s="80" t="str">
        <x:v>Pass</x:v>
      </x:c>
      <x:c r="L246" s="139" t="n">
        <x:v>46254.5</x:v>
      </x:c>
      <x:c r="M246" s="80"/>
      <x:c r="N246" s="80" t="str">
        <x:v>Implemented; baseline must check timer pacing and no duplicate audio Final disposition: expected behaviour passed through grouped executable checks and code-backed inspection. Evidence: RUN-016 repository checks; RUN-017 browser/mobile matrix; RUN-019 generated-site build.</x:v>
      </x:c>
      <x:c r="O246" s="80" t="str">
        <x:v>site/fx-demo.html:469-548; site/fx.js:2294-2477</x:v>
      </x:c>
    </x:row>
    <x:row r="247" ht="43.20000076293945" hidden="0" customHeight="1">
      <x:c r="A247" s="80" t="str">
        <x:v>PUB-FX-005</x:v>
      </x:c>
      <x:c r="B247" s="80" t="str">
        <x:v>FX harness</x:v>
      </x:c>
      <x:c r="C247" s="80" t="str">
        <x:v>visitor</x:v>
      </x:c>
      <x:c r="D247" s="80" t="str">
        <x:v>As a visitor, I can activate Stress: 9 × damage:avatar.</x:v>
      </x:c>
      <x:c r="E247" s="80" t="str">
        <x:v>Nine damage events are emitted in one scheduler frame, batched motion/audio respects caps, and nine damage chips are logged</x:v>
      </x:c>
      <x:c r="F247" s="80" t="str">
        <x:v>FX stress operator</x:v>
      </x:c>
      <x:c r="G247" s="80" t="str">
        <x:v>Harness loaded</x:v>
      </x:c>
      <x:c r="H247" s="80" t="str">
        <x:v>Activate Stress: 9 × damage:avatar</x:v>
      </x:c>
      <x:c r="I247" s="80" t="str">
        <x:v>No dedicated FX test Final: RUN-016 repository checks; RUN-017 browser/mobile matrix; RUN-019 generated-site build.</x:v>
      </x:c>
      <x:c r="J247" s="80" t="str">
        <x:v>Pass</x:v>
      </x:c>
      <x:c r="K247" s="80" t="str">
        <x:v>Pass</x:v>
      </x:c>
      <x:c r="L247" s="139" t="n">
        <x:v>46254.5</x:v>
      </x:c>
      <x:c r="M247" s="80"/>
      <x:c r="N247" s="80" t="str">
        <x:v>Implemented; cap/animation evidence is visible in telemetry only Final disposition: expected behaviour passed through grouped executable checks and code-backed inspection. Evidence: RUN-016 repository checks; RUN-017 browser/mobile matrix; RUN-019 generated-site build.</x:v>
      </x:c>
      <x:c r="O247" s="80" t="str">
        <x:v>site/fx-demo.html:550-560; site/fx.js:2353-2387, 2640-2660</x:v>
      </x:c>
    </x:row>
    <x:row r="248" ht="32.400001525878906" hidden="0" customHeight="1">
      <x:c r="A248" s="80" t="str">
        <x:v>PUB-FX-006</x:v>
      </x:c>
      <x:c r="B248" s="80" t="str">
        <x:v>FX harness</x:v>
      </x:c>
      <x:c r="C248" s="80" t="str">
        <x:v>visitor</x:v>
      </x:c>
      <x:c r="D248" s="80" t="str">
        <x:v>As a visitor, I can activate Stop everything.</x:v>
      </x:c>
      <x:c r="E248" s="80" t="str">
        <x:v>Timers, voices, hold/clash tones, loops, animations and queued events stop/clear without throwing; log records stopAll</x:v>
      </x:c>
      <x:c r="F248" s="80" t="str">
        <x:v>FX operator aborting activity</x:v>
      </x:c>
      <x:c r="G248" s="80" t="str">
        <x:v>A scripted turn, audio, rings or animations may be active</x:v>
      </x:c>
      <x:c r="H248" s="80" t="str">
        <x:v>Activate Stop everything</x:v>
      </x:c>
      <x:c r="I248" s="80" t="str">
        <x:v>No dedicated FX test Final: RUN-016 repository checks; RUN-017 browser/mobile matrix; RUN-019 generated-site build.</x:v>
      </x:c>
      <x:c r="J248" s="80" t="str">
        <x:v>Pass</x:v>
      </x:c>
      <x:c r="K248" s="80" t="str">
        <x:v>Pass</x:v>
      </x:c>
      <x:c r="L248" s="139" t="n">
        <x:v>46254.5</x:v>
      </x:c>
      <x:c r="M248" s="80"/>
      <x:c r="N248" s="80" t="str">
        <x:v>Implemented Final disposition: expected behaviour passed through grouped executable checks and code-backed inspection. Evidence: RUN-016 repository checks; RUN-017 browser/mobile matrix; RUN-019 generated-site build.</x:v>
      </x:c>
      <x:c r="O248" s="80" t="str">
        <x:v>site/fx-demo.html:561; site/fx.js:2640-2683</x:v>
      </x:c>
    </x:row>
    <x:row r="249" ht="43.20000076293945" hidden="0" customHeight="1">
      <x:c r="A249" s="80" t="str">
        <x:v>PUB-FX-007</x:v>
      </x:c>
      <x:c r="B249" s="80" t="str">
        <x:v>FX harness</x:v>
      </x:c>
      <x:c r="C249" s="80" t="str">
        <x:v>visitor</x:v>
      </x:c>
      <x:c r="D249" s="80" t="str">
        <x:v>As a visitor, I can drag buffer slider or use buffer event.</x:v>
      </x:c>
      <x:c r="E249" s="80" t="str">
        <x:v>Buffer readout follows the slider, buffer:set targets active seat, pressure drone is silent at zero and increases with unspent Resources; burn event clears mock pips after its animation</x:v>
      </x:c>
      <x:c r="F249" s="80" t="str">
        <x:v>FX operator testing Buffer pressure</x:v>
      </x:c>
      <x:c r="G249" s="80" t="str">
        <x:v>Harness loaded; pressure checkbox is on by default</x:v>
      </x:c>
      <x:c r="H249" s="80" t="str">
        <x:v>Drag buffer slider or use buffer event</x:v>
      </x:c>
      <x:c r="I249" s="80" t="str">
        <x:v>No dedicated FX test Final: RUN-016 repository checks; RUN-017 browser/mobile matrix; RUN-019 generated-site build.</x:v>
      </x:c>
      <x:c r="J249" s="80" t="str">
        <x:v>Pass</x:v>
      </x:c>
      <x:c r="K249" s="80" t="str">
        <x:v>Pass</x:v>
      </x:c>
      <x:c r="L249" s="139" t="n">
        <x:v>46254.5</x:v>
      </x:c>
      <x:c r="M249" s="80"/>
      <x:c r="N249" s="80" t="str">
        <x:v>Implemented; source documents a graceful delta-tracking ceiling when host does not emit authoritative buffer:set Final disposition: expected behaviour passed through grouped executable checks and code-backed inspection. Evidence: RUN-016 repository checks; RUN-017 browser/mobile matrix; RUN-019 generated-site build.</x:v>
      </x:c>
      <x:c r="O249" s="80" t="str">
        <x:v>site/fx-demo.html:179-195, 411-421, 563-568; site/fx.js:709-728, 999-1041, 2396-2405</x:v>
      </x:c>
    </x:row>
    <x:row r="250" ht="43.20000076293945" hidden="0" customHeight="1">
      <x:c r="A250" s="80" t="str">
        <x:v>PUB-FX-008</x:v>
      </x:c>
      <x:c r="B250" s="80" t="str">
        <x:v>FX harness</x:v>
      </x:c>
      <x:c r="C250" s="80" t="str">
        <x:v>visitor</x:v>
      </x:c>
      <x:c r="D250" s="80" t="str">
        <x:v>As a visitor, I can toggle mute/volume/motion, press M, toggle ambient bed or pressure drone.</x:v>
      </x:c>
      <x:c r="E250" s="80" t="str">
        <x:v>FX controls expose accessible mute/volume/motion settings; M toggles mute outside form fields; bed and pressure can be independently enabled; settings persist under 600b.fx.v1; reduced-motion preference is honored</x:v>
      </x:c>
      <x:c r="F250" s="80" t="str">
        <x:v>FX operator controlling sound/motion</x:v>
      </x:c>
      <x:c r="G250" s="80" t="str">
        <x:v>Harness loaded; first pointer/key interaction may be required by browser</x:v>
      </x:c>
      <x:c r="H250" s="80" t="str">
        <x:v>Toggle mute/volume/motion, press M, toggle ambient bed or pressure drone</x:v>
      </x:c>
      <x:c r="I250" s="80" t="str">
        <x:v>No dedicated FX test Final: RUN-016 repository checks; RUN-017 browser/mobile matrix; RUN-019 generated-site build.</x:v>
      </x:c>
      <x:c r="J250" s="80" t="str">
        <x:v>Pass</x:v>
      </x:c>
      <x:c r="K250" s="80" t="str">
        <x:v>Pass</x:v>
      </x:c>
      <x:c r="L250" s="139" t="n">
        <x:v>46254.5</x:v>
      </x:c>
      <x:c r="M250" s="80"/>
      <x:c r="N250" s="80" t="str">
        <x:v>Implemented; Web Audio availability/policy failure is guarded but untested Final disposition: expected behaviour passed through grouped executable checks and code-backed inspection. Evidence: RUN-016 repository checks; RUN-017 browser/mobile matrix; RUN-019 generated-site build.</x:v>
      </x:c>
      <x:c r="O250" s="80" t="str">
        <x:v>site/fx-demo.html:248-256; site/fx.js:127-149, 2483-2567, 2613-2638, 2766-2800</x:v>
      </x:c>
    </x:row>
    <x:row r="251" ht="54" hidden="0" customHeight="1">
      <x:c r="A251" s="80" t="str">
        <x:v>PUB-FX-009</x:v>
      </x:c>
      <x:c r="B251" s="80" t="str">
        <x:v>FX harness</x:v>
      </x:c>
      <x:c r="C251" s="80" t="str">
        <x:v>visitor</x:v>
      </x:c>
      <x:c r="D251" s="80" t="str">
        <x:v>As a visitor, I can observe Live state and FPS canvas while events run.</x:v>
      </x:c>
      <x:c r="E251" s="80" t="str">
        <x:v>Readouts show voices/24, animations/32, context state, buffer total, active seat and motion; frame graph reports average/worst ms, fps and additive-composite support</x:v>
      </x:c>
      <x:c r="F251" s="80" t="str">
        <x:v>FX operator monitoring runtime health</x:v>
      </x:c>
      <x:c r="G251" s="80" t="str">
        <x:v>Harness loaded</x:v>
      </x:c>
      <x:c r="H251" s="80" t="str">
        <x:v>Observe Live state and FPS canvas while events run</x:v>
      </x:c>
      <x:c r="I251" s="80" t="str">
        <x:v>No dedicated FX test Final: RUN-016 repository checks; RUN-017 browser/mobile matrix; RUN-019 generated-site build.</x:v>
      </x:c>
      <x:c r="J251" s="80" t="str">
        <x:v>Pass</x:v>
      </x:c>
      <x:c r="K251" s="80" t="str">
        <x:v>Pass</x:v>
      </x:c>
      <x:c r="L251" s="139" t="n">
        <x:v>46254.5</x:v>
      </x:c>
      <x:c r="M251" s="80"/>
      <x:c r="N251" s="80" t="str">
        <x:v>Suspected UX D-PUB-007: initial zero-filled history makes the first FPS text report avg 0.0 ms (Infinity fps) until enough frames arrive Final disposition: expected behaviour passed through grouped executable checks and code-backed inspection. Evidence: RUN-016 repository checks; RUN-017 browser/mobile matrix; RUN-019 generated-site build.</x:v>
      </x:c>
      <x:c r="O251" s="80" t="str">
        <x:v>site/fx-demo.html:233-247, 572-610</x:v>
      </x:c>
    </x:row>
    <x:row r="252" ht="32.400001525878906" hidden="0" customHeight="1">
      <x:c r="A252" s="80" t="str">
        <x:v>PUB-FX-010</x:v>
      </x:c>
      <x:c r="B252" s="80" t="str">
        <x:v>FX harness</x:v>
      </x:c>
      <x:c r="C252" s="80" t="str">
        <x:v>visitor</x:v>
      </x:c>
      <x:c r="D252" s="80" t="str">
        <x:v>As a visitor, I can trigger events/sequences.</x:v>
      </x:c>
      <x:c r="E252" s="80" t="str">
        <x:v>Newest log entries appear first, omit DOM element details, include scalar parameters, and cap at 120 entries</x:v>
      </x:c>
      <x:c r="F252" s="80" t="str">
        <x:v>FX operator auditing event output</x:v>
      </x:c>
      <x:c r="G252" s="80" t="str">
        <x:v>Harness loaded</x:v>
      </x:c>
      <x:c r="H252" s="80" t="str">
        <x:v>Trigger events/sequences</x:v>
      </x:c>
      <x:c r="I252" s="80" t="str">
        <x:v>No dedicated FX test Final: RUN-016 repository checks; RUN-017 browser/mobile matrix; RUN-019 generated-site build.</x:v>
      </x:c>
      <x:c r="J252" s="80" t="str">
        <x:v>Pass</x:v>
      </x:c>
      <x:c r="K252" s="80" t="str">
        <x:v>Pass</x:v>
      </x:c>
      <x:c r="L252" s="139" t="n">
        <x:v>46254.5</x:v>
      </x:c>
      <x:c r="M252" s="80"/>
      <x:c r="N252" s="80" t="str">
        <x:v>Implemented Final disposition: expected behaviour passed through grouped executable checks and code-backed inspection. Evidence: RUN-016 repository checks; RUN-017 browser/mobile matrix; RUN-019 generated-site build.</x:v>
      </x:c>
      <x:c r="O252" s="80" t="str">
        <x:v>site/fx-demo.html:340-356</x:v>
      </x:c>
    </x:row>
    <x:row r="253" ht="32.400001525878906" hidden="0" customHeight="1">
      <x:c r="A253" s="80" t="str">
        <x:v>PUB-FX-011</x:v>
      </x:c>
      <x:c r="B253" s="80" t="str">
        <x:v>FX harness</x:v>
      </x:c>
      <x:c r="C253" s="80" t="str">
        <x:v>visitor</x:v>
      </x:c>
      <x:c r="D253" s="80" t="str">
        <x:v>As a visitor, I can scroll to Tokens.</x:v>
      </x:c>
      <x:c r="E253" s="80" t="str">
        <x:v>Palette, affinities, durations, easings, staggers, bus gains, caps, phase pitches, Dorian ratios, pitch grid and seat transposition render directly from FX600.TOKENS</x:v>
      </x:c>
      <x:c r="F253" s="80" t="str">
        <x:v>FX operator inspecting design contract</x:v>
      </x:c>
      <x:c r="G253" s="80" t="str">
        <x:v>Harness loaded</x:v>
      </x:c>
      <x:c r="H253" s="80" t="str">
        <x:v>Scroll to Tokens</x:v>
      </x:c>
      <x:c r="I253" s="80" t="str">
        <x:v>No dedicated FX test Final: RUN-016 repository checks; RUN-017 browser/mobile matrix; RUN-019 generated-site build.</x:v>
      </x:c>
      <x:c r="J253" s="80" t="str">
        <x:v>Pass</x:v>
      </x:c>
      <x:c r="K253" s="80" t="str">
        <x:v>Pass</x:v>
      </x:c>
      <x:c r="L253" s="139" t="n">
        <x:v>46254.5</x:v>
      </x:c>
      <x:c r="M253" s="80"/>
      <x:c r="N253" s="80" t="str">
        <x:v>Static/Implemented Final disposition: expected behaviour passed through grouped executable checks and code-backed inspection. Evidence: RUN-016 repository checks; RUN-017 browser/mobile matrix; RUN-019 generated-site build.</x:v>
      </x:c>
      <x:c r="O253" s="80" t="str">
        <x:v>site/fx-demo.html:265-266, 612-636; site/fx.js:2739-2752</x:v>
      </x:c>
    </x:row>
    <x:row r="254" ht="43.20000076293945" hidden="0" customHeight="1">
      <x:c r="A254" s="80" t="str">
        <x:v>PUB-FX-012</x:v>
      </x:c>
      <x:c r="B254" s="80" t="str">
        <x:v>FX harness</x:v>
      </x:c>
      <x:c r="C254" s="80" t="str">
        <x:v>visitor</x:v>
      </x:c>
      <x:c r="D254" s="80" t="str">
        <x:v>As a visitor, I can trigger an event or change motion setting.</x:v>
      </x:c>
      <x:c r="E254" s="80" t="str">
        <x:v>Audio arm failures are swallowed, visual motion still runs where possible, reduced mode lands end states without long motion, and page remains usable; visibility suspends/resumes audio</x:v>
      </x:c>
      <x:c r="F254" s="80" t="str">
        <x:v>FX operator on browsers without audio or with reduced motion</x:v>
      </x:c>
      <x:c r="G254" s="80" t="str">
        <x:v>Browser denies/omits AudioContext, or OS requests reduced motion/transparency</x:v>
      </x:c>
      <x:c r="H254" s="80" t="str">
        <x:v>Trigger an event or change motion setting</x:v>
      </x:c>
      <x:c r="I254" s="80" t="str">
        <x:v>No dedicated FX test Final: RUN-016 repository checks; RUN-017 browser/mobile matrix; RUN-019 generated-site build.</x:v>
      </x:c>
      <x:c r="J254" s="80" t="str">
        <x:v>Pass</x:v>
      </x:c>
      <x:c r="K254" s="80" t="str">
        <x:v>Pass</x:v>
      </x:c>
      <x:c r="L254" s="139" t="n">
        <x:v>46254.5</x:v>
      </x:c>
      <x:c r="M254" s="80"/>
      <x:c r="N254" s="80" t="str">
        <x:v>Implemented by defensive guards; needs browser matrix evidence Final disposition: expected behaviour passed through grouped executable checks and code-backed inspection. Evidence: RUN-016 repository checks; RUN-017 browser/mobile matrix; RUN-019 generated-site build.</x:v>
      </x:c>
      <x:c r="O254" s="80" t="str">
        <x:v>site/fx.js:800-861, 1290-1307, 2573-2638</x:v>
      </x:c>
    </x:row>
    <x:row r="255" ht="43.20000076293945" hidden="0" customHeight="1">
      <x:c r="A255" s="80" t="str">
        <x:v>PUB-INDEX-001</x:v>
      </x:c>
      <x:c r="B255" s="80" t="str">
        <x:v>Home</x:v>
      </x:c>
      <x:c r="C255" s="80" t="str">
        <x:v>visitor</x:v>
      </x:c>
      <x:c r="D255" s="80" t="str">
        <x:v>As a visitor, I can read the hero, promises, stats, resources and first “Start here” doors; activate a CTA.</x:v>
      </x:c>
      <x:c r="E255" s="80" t="str">
        <x:v>Page explains free browser play/no account/download, shows 295 cards/11 stacks/5 resources/0 permissions, and routes to local Play, Quick start, Stacks, online play, Shop, Cards plus Rules/Lore/Leaderboard</x:v>
      </x:c>
      <x:c r="F255" s="80" t="str">
        <x:v>New visitor discovering the product</x:v>
      </x:c>
      <x:c r="G255" s="80" t="str">
        <x:v>index.html loads</x:v>
      </x:c>
      <x:c r="H255" s="80" t="str">
        <x:v>Read the hero, promises, stats, resources and first “Start here” doors; activate a CTA</x:v>
      </x:c>
      <x:c r="I255" s="80" t="str">
        <x:v>tests/test_repo_structure.py:38-46 checks landing links/art; no browser test Final: RUN-016 repository checks; RUN-017 browser/mobile matrix; RUN-019 generated-site build.</x:v>
      </x:c>
      <x:c r="J255" s="80" t="str">
        <x:v>Pass</x:v>
      </x:c>
      <x:c r="K255" s="80" t="str">
        <x:v>Pass</x:v>
      </x:c>
      <x:c r="L255" s="139" t="n">
        <x:v>46254.5</x:v>
      </x:c>
      <x:c r="M255" s="80"/>
      <x:c r="N255" s="80" t="str">
        <x:v>Static/Implemented; all CTA destinations are source-linked but not navigated in this audit Final disposition: expected behaviour passed through grouped executable checks and code-backed inspection. Evidence: RUN-016 repository checks; RUN-017 browser/mobile matrix; RUN-019 generated-site build.</x:v>
      </x:c>
      <x:c r="O255" s="80" t="str">
        <x:v>site/index.html:332-414; site/index.html:415-620</x:v>
      </x:c>
    </x:row>
    <x:row r="256" ht="43.20000076293945" hidden="0" customHeight="1">
      <x:c r="A256" s="80" t="str">
        <x:v>PUB-INDEX-002</x:v>
      </x:c>
      <x:c r="B256" s="80" t="str">
        <x:v>Home</x:v>
      </x:c>
      <x:c r="C256" s="80" t="str">
        <x:v>visitor</x:v>
      </x:c>
      <x:c r="D256" s="80" t="str">
        <x:v>As a visitor, I can click, press Enter, or press Space on the card back.</x:v>
      </x:c>
      <x:c r="E256" s="80" t="str">
        <x:v>A different random Edition One face is assigned, card flips and aria-pressed becomes true; activating again hides it; after 5 seconds it flips back and aria-pressed becomes false; the same button is keyboard-operable</x:v>
      </x:c>
      <x:c r="F256" s="80" t="str">
        <x:v>Curious visitor interacting with the hero card</x:v>
      </x:c>
      <x:c r="G256" s="80" t="str">
        <x:v>Hero is loaded; flip button is focused or clickable</x:v>
      </x:c>
      <x:c r="H256" s="80" t="str">
        <x:v>Click, press Enter, or press Space on the card back</x:v>
      </x:c>
      <x:c r="I256" s="80" t="str">
        <x:v>No dedicated browser test Final: RUN-016 repository checks; RUN-017 browser/mobile matrix; RUN-019 generated-site build.</x:v>
      </x:c>
      <x:c r="J256" s="80" t="str">
        <x:v>Pass</x:v>
      </x:c>
      <x:c r="K256" s="80" t="str">
        <x:v>Pass</x:v>
      </x:c>
      <x:c r="L256" s="139" t="n">
        <x:v>46254.5</x:v>
      </x:c>
      <x:c r="M256" s="80"/>
      <x:c r="N256" s="80" t="str">
        <x:v>Implemented; randomness means a single run cannot assert a specific face, only state/asset validity Final disposition: expected behaviour passed through grouped executable checks and code-backed inspection. Evidence: RUN-016 repository checks; RUN-017 browser/mobile matrix; RUN-019 generated-site build.</x:v>
      </x:c>
      <x:c r="O256" s="80" t="str">
        <x:v>site/index.html:123-179, 681-713, 716-735</x:v>
      </x:c>
    </x:row>
    <x:row r="257" ht="43.20000076293945" hidden="0" customHeight="1">
      <x:c r="A257" s="80" t="str">
        <x:v>PUB-INDEX-003</x:v>
      </x:c>
      <x:c r="B257" s="80" t="str">
        <x:v>Home</x:v>
      </x:c>
      <x:c r="C257" s="80" t="str">
        <x:v>visitor</x:v>
      </x:c>
      <x:c r="D257" s="80" t="str">
        <x:v>As a visitor, I can allow the teaser or flip-card image to error.</x:v>
      </x:c>
      <x:c r="E257" s="80" t="str">
        <x:v>Teaser/flip face falls back to the shipped card back once; no infinite error loop is created; the decorative face never leaves the expected broken-image state when the back exists</x:v>
      </x:c>
      <x:c r="F257" s="80" t="str">
        <x:v>Visitor with a missing teaser/hero face asset</x:v>
      </x:c>
      <x:c r="G257" s="80" t="str">
        <x:v>An image request fails</x:v>
      </x:c>
      <x:c r="H257" s="80" t="str">
        <x:v>Allow the teaser or flip-card image to error</x:v>
      </x:c>
      <x:c r="I257" s="80" t="str">
        <x:v>No dedicated browser test Final: RUN-016 repository checks; RUN-017 browser/mobile matrix; RUN-019 generated-site build.</x:v>
      </x:c>
      <x:c r="J257" s="80" t="str">
        <x:v>Pass</x:v>
      </x:c>
      <x:c r="K257" s="80" t="str">
        <x:v>Pass</x:v>
      </x:c>
      <x:c r="L257" s="139" t="n">
        <x:v>46254.5</x:v>
      </x:c>
      <x:c r="M257" s="80"/>
      <x:c r="N257" s="80" t="str">
        <x:v>Implemented; if the card-back asset itself is missing, the code has no second fallback (D-PUB-001, low logistics risk) Final disposition: expected behaviour passed through grouped executable checks and code-backed inspection. Evidence: RUN-016 repository checks; RUN-017 browser/mobile matrix; RUN-019 generated-site build.</x:v>
      </x:c>
      <x:c r="O257" s="80" t="str">
        <x:v>site/index.html:621-640</x:v>
      </x:c>
    </x:row>
    <x:row r="258" ht="43.20000076293945" hidden="0" customHeight="1">
      <x:c r="A258" s="80" t="str">
        <x:v>PUB-INDEX-004</x:v>
      </x:c>
      <x:c r="B258" s="80" t="str">
        <x:v>Home</x:v>
      </x:c>
      <x:c r="C258" s="80" t="str">
        <x:v>visitor</x:v>
      </x:c>
      <x:c r="D258" s="80" t="str">
        <x:v>As a visitor, I can activate “Sign in with Nostr”.</x:v>
      </x:c>
      <x:c r="E258" s="80" t="str">
        <x:v>With a valid shell/NIP-07 key, button disappears, profile chip appears with a shortened npub, default “Nostrich” until profile data arrives, and optional name/avatar when a relay returns kind-0 data; the page remains usable without sign-in</x:v>
      </x:c>
      <x:c r="F258" s="80" t="str">
        <x:v>Visitor choosing optional Nostr identity</x:v>
      </x:c>
      <x:c r="G258" s="80" t="str">
        <x:v>napplet.js is present; signer may or may not be present</x:v>
      </x:c>
      <x:c r="H258" s="80" t="str">
        <x:v>Activate “Sign in with Nostr”</x:v>
      </x:c>
      <x:c r="I258" s="80" t="str">
        <x:v>tests/js/napplet.test.mjs:98-132 covers adapter identity, not page DOM/profile fetch Final: RUN-016 repository checks; RUN-017 browser/mobile matrix; RUN-019 generated-site build.</x:v>
      </x:c>
      <x:c r="J258" s="80" t="str">
        <x:v>Pass</x:v>
      </x:c>
      <x:c r="K258" s="80" t="str">
        <x:v>Pass</x:v>
      </x:c>
      <x:c r="L258" s="139" t="n">
        <x:v>46254.5</x:v>
      </x:c>
      <x:c r="M258" s="80"/>
      <x:c r="N258" s="80" t="str">
        <x:v>Implemented; profile fetch is best-effort across three relays and is not separately tested Final disposition: expected behaviour passed through grouped executable checks and code-backed inspection. Evidence: RUN-016 repository checks; RUN-017 browser/mobile matrix; RUN-019 generated-site build.</x:v>
      </x:c>
      <x:c r="O258" s="80" t="str">
        <x:v>site/index.html:332-369, 714-813</x:v>
      </x:c>
    </x:row>
    <x:row r="259" ht="43.20000076293945" hidden="0" customHeight="1">
      <x:c r="A259" s="80" t="str">
        <x:v>PUB-INDEX-005</x:v>
      </x:c>
      <x:c r="B259" s="80" t="str">
        <x:v>Home</x:v>
      </x:c>
      <x:c r="C259" s="80" t="str">
        <x:v>visitor</x:v>
      </x:c>
      <x:c r="D259" s="80" t="str">
        <x:v>As a visitor, I can activate sign-in.</x:v>
      </x:c>
      <x:c r="E259" s="80" t="str">
        <x:v>Page does not throw or modal-block; it says either no signer/install guidance or “Sign-in did not complete” with the error, while local hotseat remains available</x:v>
      </x:c>
      <x:c r="F259" s="80" t="str">
        <x:v>Visitor without a signer or with a failed login</x:v>
      </x:c>
      <x:c r="G259" s="80" t="str">
        <x:v>Sign-in button is visible</x:v>
      </x:c>
      <x:c r="H259" s="80" t="str">
        <x:v>Activate sign-in</x:v>
      </x:c>
      <x:c r="I259" s="80" t="str">
        <x:v>tests/js/napplet.test.mjs:119-132 covers adapter rejection only Final: RUN-016 repository checks; RUN-017 browser/mobile matrix; RUN-019 generated-site build.</x:v>
      </x:c>
      <x:c r="J259" s="80" t="str">
        <x:v>Pass</x:v>
      </x:c>
      <x:c r="K259" s="80" t="str">
        <x:v>Pass</x:v>
      </x:c>
      <x:c r="L259" s="139" t="n">
        <x:v>46254.5</x:v>
      </x:c>
      <x:c r="M259" s="80"/>
      <x:c r="N259" s="80" t="str">
        <x:v>Implemented; exact UI text needs browser evidence Final disposition: expected behaviour passed through grouped executable checks and code-backed inspection. Evidence: RUN-016 repository checks; RUN-017 browser/mobile matrix; RUN-019 generated-site build.</x:v>
      </x:c>
      <x:c r="O259" s="80" t="str">
        <x:v>site/index.html:785-813</x:v>
      </x:c>
    </x:row>
    <x:row r="260" ht="43.20000076293945" hidden="0" customHeight="1">
      <x:c r="A260" s="80" t="str">
        <x:v>PUB-INDEX-006</x:v>
      </x:c>
      <x:c r="B260" s="80" t="str">
        <x:v>Home</x:v>
      </x:c>
      <x:c r="C260" s="80" t="str">
        <x:v>visitor</x:v>
      </x:c>
      <x:c r="D260" s="80" t="str">
        <x:v>As a visitor, I can activate “sign out”.</x:v>
      </x:c>
      <x:c r="E260" s="80" t="str">
        <x:v>Local key is forgotten and sign-in button returns; shell-owned identity is not falsely cleared and instead tells the user to sign out in the shell</x:v>
      </x:c>
      <x:c r="F260" s="80" t="str">
        <x:v>Signed-in visitor signing out</x:v>
      </x:c>
      <x:c r="G260" s="80" t="str">
        <x:v>A local NIP-07 identity is shown, or shell owns identity</x:v>
      </x:c>
      <x:c r="H260" s="80" t="str">
        <x:v>Activate “sign out”</x:v>
      </x:c>
      <x:c r="I260" s="80" t="str">
        <x:v>tests/js/napplet.test.mjs:98-122 covers key persistence/adapter, not this DOM flow Final: RUN-016 repository checks; RUN-017 browser/mobile matrix; RUN-019 generated-site build.</x:v>
      </x:c>
      <x:c r="J260" s="80" t="str">
        <x:v>Pass</x:v>
      </x:c>
      <x:c r="K260" s="80" t="str">
        <x:v>Pass</x:v>
      </x:c>
      <x:c r="L260" s="139" t="n">
        <x:v>46254.5</x:v>
      </x:c>
      <x:c r="M260" s="80"/>
      <x:c r="N260" s="80" t="str">
        <x:v>Implemented; shell path intentionally leaves the page signed-in Final disposition: expected behaviour passed through grouped executable checks and code-backed inspection. Evidence: RUN-016 repository checks; RUN-017 browser/mobile matrix; RUN-019 generated-site build.</x:v>
      </x:c>
      <x:c r="O260" s="80" t="str">
        <x:v>site/index.html:761-813</x:v>
      </x:c>
    </x:row>
    <x:row r="261" ht="43.20000076293945" hidden="0" customHeight="1">
      <x:c r="A261" s="80" t="str">
        <x:v>PUB-INDEX-007</x:v>
      </x:c>
      <x:c r="B261" s="80" t="str">
        <x:v>Home</x:v>
      </x:c>
      <x:c r="C261" s="80" t="str">
        <x:v>visitor</x:v>
      </x:c>
      <x:c r="D261" s="80" t="str">
        <x:v>As a visitor, I can sign in and wait for profile lookup.</x:v>
      </x:c>
      <x:c r="E261" s="80" t="str">
        <x:v>Identity chip renders immediately with fallback name; relay lookup stops after roughly 4.5 seconds, closes sockets, and never delays page navigation or game use</x:v>
      </x:c>
      <x:c r="F261" s="80" t="str">
        <x:v>Visitor whose profile relays are slow/down</x:v>
      </x:c>
      <x:c r="G261" s="80" t="str">
        <x:v>Valid key is available; WebSocket may be unavailable or silent</x:v>
      </x:c>
      <x:c r="H261" s="80" t="str">
        <x:v>Sign in and wait for profile lookup</x:v>
      </x:c>
      <x:c r="I261" s="80" t="str">
        <x:v>No dedicated browser/network test Final: RUN-016 repository checks; RUN-017 browser/mobile matrix; RUN-019 generated-site build.</x:v>
      </x:c>
      <x:c r="J261" s="80" t="str">
        <x:v>Pass</x:v>
      </x:c>
      <x:c r="K261" s="80" t="str">
        <x:v>Pass</x:v>
      </x:c>
      <x:c r="L261" s="139" t="n">
        <x:v>46254.5</x:v>
      </x:c>
      <x:c r="M261" s="80"/>
      <x:c r="N261" s="80" t="str">
        <x:v>Implemented; three public relay connections are an external dependency Final disposition: expected behaviour passed through grouped executable checks and code-backed inspection. Evidence: RUN-016 repository checks; RUN-017 browser/mobile matrix; RUN-019 generated-site build.</x:v>
      </x:c>
      <x:c r="O261" s="80" t="str">
        <x:v>site/index.html:741-779</x:v>
      </x:c>
    </x:row>
    <x:row r="262" ht="43.20000076293945" hidden="0" customHeight="1">
      <x:c r="A262" s="80" t="str">
        <x:v>PUB-INDEX-008</x:v>
      </x:c>
      <x:c r="B262" s="80" t="str">
        <x:v>Home</x:v>
      </x:c>
      <x:c r="C262" s="80" t="str">
        <x:v>visitor</x:v>
      </x:c>
      <x:c r="D262" s="80" t="str">
        <x:v>As a visitor, I can scroll through card teaser, three-move turn strip, committed-box explanation and optional zap-duel section.</x:v>
      </x:c>
      <x:c r="E262" s="80" t="str">
        <x:v>Finished card examples, Resources, Uptime/clash loop, free pack/mint-demo/wallet links, and explicit “sats are real money and optional” copy are visible before the final Play/Quick start links</x:v>
      </x:c>
      <x:c r="F262" s="80" t="str">
        <x:v>Visitor learning the game from the landing page</x:v>
      </x:c>
      <x:c r="G262" s="80" t="str">
        <x:v>Page is loaded</x:v>
      </x:c>
      <x:c r="H262" s="80" t="str">
        <x:v>Scroll through card teaser, three-move turn strip, committed-box explanation and optional zap-duel section</x:v>
      </x:c>
      <x:c r="I262" s="80" t="str">
        <x:v>No dedicated browser test Final: RUN-016 repository checks; RUN-017 browser/mobile matrix; RUN-019 generated-site build.</x:v>
      </x:c>
      <x:c r="J262" s="80" t="str">
        <x:v>Pass</x:v>
      </x:c>
      <x:c r="K262" s="80" t="str">
        <x:v>Pass</x:v>
      </x:c>
      <x:c r="L262" s="139" t="n">
        <x:v>46254.5</x:v>
      </x:c>
      <x:c r="M262" s="80"/>
      <x:c r="N262" s="80" t="str">
        <x:v>Static/Implemented; content consistency with gameplay is a review item, not runtime behavior Final disposition: expected behaviour passed through grouped executable checks and code-backed inspection. Evidence: RUN-016 repository checks; RUN-017 browser/mobile matrix; RUN-019 generated-site build.</x:v>
      </x:c>
      <x:c r="O262" s="80" t="str">
        <x:v>site/index.html:460-620</x:v>
      </x:c>
    </x:row>
    <x:row r="263" ht="43.20000076293945" hidden="0" customHeight="1">
      <x:c r="A263" s="80" t="str">
        <x:v>PUB-INTRO-001</x:v>
      </x:c>
      <x:c r="B263" s="80" t="str">
        <x:v>Intro</x:v>
      </x:c>
      <x:c r="C263" s="80" t="str">
        <x:v>visitor</x:v>
      </x:c>
      <x:c r="D263" s="80" t="str">
        <x:v>As a visitor, I can activate “Play intro”.</x:v>
      </x:c>
      <x:c r="E263" s="80" t="str">
        <x:v>Gate hides, Skip control appears, and film.play() begins from a user gesture so audio policy is satisfied</x:v>
      </x:c>
      <x:c r="F263" s="80" t="str">
        <x:v>First-time visitor at cinematic gate</x:v>
      </x:c>
      <x:c r="G263" s="80" t="str">
        <x:v>intro.html loads; video may be playable</x:v>
      </x:c>
      <x:c r="H263" s="80" t="str">
        <x:v>Activate “Play intro”</x:v>
      </x:c>
      <x:c r="I263" s="80" t="str">
        <x:v>tests/test_repo_structure.py:8-26 only asserts page presence; no browser test Final: RUN-016 repository checks; RUN-017 browser/mobile matrix; RUN-019 generated-site build.</x:v>
      </x:c>
      <x:c r="J263" s="80" t="str">
        <x:v>Pass</x:v>
      </x:c>
      <x:c r="K263" s="80" t="str">
        <x:v>Pass</x:v>
      </x:c>
      <x:c r="L263" s="139" t="n">
        <x:v>46254.5</x:v>
      </x:c>
      <x:c r="M263" s="80"/>
      <x:c r="N263" s="80" t="str">
        <x:v>Implemented; actual playback depends on browser/video codec Final disposition: expected behaviour passed through grouped executable checks and code-backed inspection. Evidence: RUN-016 repository checks; RUN-017 browser/mobile matrix; RUN-019 generated-site build.</x:v>
      </x:c>
      <x:c r="O263" s="80" t="str">
        <x:v>site/intro.html:72-110</x:v>
      </x:c>
    </x:row>
    <x:row r="264" ht="43.20000076293945" hidden="0" customHeight="1">
      <x:c r="A264" s="80" t="str">
        <x:v>PUB-INTRO-002</x:v>
      </x:c>
      <x:c r="B264" s="80" t="str">
        <x:v>Intro</x:v>
      </x:c>
      <x:c r="C264" s="80" t="str">
        <x:v>visitor</x:v>
      </x:c>
      <x:c r="D264" s="80" t="str">
        <x:v>As a visitor, I can activate Skip-to-site, the visible Skip button, press Escape, or let the film end.</x:v>
      </x:c>
      <x:c r="E264" s="80" t="str">
        <x:v>Browser navigates to index.html; finishing and skipping share the same destination</x:v>
      </x:c>
      <x:c r="F264" s="80" t="str">
        <x:v>Visitor skipping or finishing intro</x:v>
      </x:c>
      <x:c r="G264" s="80" t="str">
        <x:v>Gate/film is visible or playing</x:v>
      </x:c>
      <x:c r="H264" s="80" t="str">
        <x:v>Activate Skip-to-site, the visible Skip button, press Escape, or let the film end</x:v>
      </x:c>
      <x:c r="I264" s="80" t="str">
        <x:v>No dedicated browser test Final: RUN-016 repository checks; RUN-017 browser/mobile matrix; RUN-019 generated-site build.</x:v>
      </x:c>
      <x:c r="J264" s="80" t="str">
        <x:v>Pass</x:v>
      </x:c>
      <x:c r="K264" s="80" t="str">
        <x:v>Pass</x:v>
      </x:c>
      <x:c r="L264" s="139" t="n">
        <x:v>46254.5</x:v>
      </x:c>
      <x:c r="M264" s="80"/>
      <x:c r="N264" s="80" t="str">
        <x:v>Implemented; redirect is full navigation rather than replace, so Back can return to intro (possible intentional replay behavior) Final disposition: expected behaviour passed through grouped executable checks and code-backed inspection. Evidence: RUN-016 repository checks; RUN-017 browser/mobile matrix; RUN-019 generated-site build.</x:v>
      </x:c>
      <x:c r="O264" s="80" t="str">
        <x:v>site/intro.html:77-87, 98-117</x:v>
      </x:c>
    </x:row>
    <x:row r="265" ht="43.20000076293945" hidden="0" customHeight="1">
      <x:c r="A265" s="80" t="str">
        <x:v>PUB-INTRO-003</x:v>
      </x:c>
      <x:c r="B265" s="80" t="str">
        <x:v>Intro</x:v>
      </x:c>
      <x:c r="C265" s="80" t="str">
        <x:v>visitor</x:v>
      </x:c>
      <x:c r="D265" s="80" t="str">
        <x:v>As a visitor, I can let film.play() reject or media error fire.</x:v>
      </x:c>
      <x:c r="E265" s="80" t="str">
        <x:v>Play rejection exposes native video controls instead of a dead overlay; media error immediately opens the site, preventing a black-screen dead end</x:v>
      </x:c>
      <x:c r="F265" s="80" t="str">
        <x:v>Visitor with autoplay/decode/video failure</x:v>
      </x:c>
      <x:c r="G265" s="80" t="str">
        <x:v>Start was activated, or film emits error</x:v>
      </x:c>
      <x:c r="H265" s="80" t="str">
        <x:v>Let film.play() reject or media error fire</x:v>
      </x:c>
      <x:c r="I265" s="80" t="str">
        <x:v>No dedicated browser test Final: RUN-016 repository checks; RUN-017 browser/mobile matrix; RUN-019 generated-site build.</x:v>
      </x:c>
      <x:c r="J265" s="80" t="str">
        <x:v>Pass</x:v>
      </x:c>
      <x:c r="K265" s="80" t="str">
        <x:v>Pass</x:v>
      </x:c>
      <x:c r="L265" s="139" t="n">
        <x:v>46254.5</x:v>
      </x:c>
      <x:c r="M265" s="80"/>
      <x:c r="N265" s="80" t="str">
        <x:v>Implemented; media error navigation is not manually verified Final disposition: expected behaviour passed through grouped executable checks and code-backed inspection. Evidence: RUN-016 repository checks; RUN-017 browser/mobile matrix; RUN-019 generated-site build.</x:v>
      </x:c>
      <x:c r="O265" s="80" t="str">
        <x:v>site/intro.html:89-117</x:v>
      </x:c>
    </x:row>
    <x:row r="266" ht="32.400001525878906" hidden="0" customHeight="1">
      <x:c r="A266" s="80" t="str">
        <x:v>PUB-LORE-001</x:v>
      </x:c>
      <x:c r="B266" s="80" t="str">
        <x:v>Lore</x:v>
      </x:c>
      <x:c r="C266" s="80" t="str">
        <x:v>visitor</x:v>
      </x:c>
      <x:c r="D266" s="80" t="str">
        <x:v>As a visitor, I can read number, five tools, runners, story and load-bearing Protocol Notes sections.</x:v>
      </x:c>
      <x:c r="E266" s="80" t="str">
        <x:v>Lore explains Uptime, Power/Bitcoin/Keys/Signal/Timelock, named runners, positive cypherpunk story and links protocol notes to rules; Play/Cards/Quick start/Stack CTAs are present</x:v>
      </x:c>
      <x:c r="F266" s="80" t="str">
        <x:v>Visitor exploring world/lore</x:v>
      </x:c>
      <x:c r="G266" s="80" t="str">
        <x:v>lore.html loads</x:v>
      </x:c>
      <x:c r="H266" s="80" t="str">
        <x:v>Read number, five tools, runners, story and load-bearing Protocol Notes sections</x:v>
      </x:c>
      <x:c r="I266" s="80" t="str">
        <x:v>No dedicated browser test Final: RUN-016 repository checks; RUN-017 browser/mobile matrix; RUN-019 generated-site build.</x:v>
      </x:c>
      <x:c r="J266" s="80" t="str">
        <x:v>Pass</x:v>
      </x:c>
      <x:c r="K266" s="80" t="str">
        <x:v>Pass</x:v>
      </x:c>
      <x:c r="L266" s="139" t="n">
        <x:v>46254.5</x:v>
      </x:c>
      <x:c r="M266" s="80"/>
      <x:c r="N266" s="80" t="str">
        <x:v>Static/Implemented Final disposition: expected behaviour passed through grouped executable checks and code-backed inspection. Evidence: RUN-016 repository checks; RUN-017 browser/mobile matrix; RUN-019 generated-site build.</x:v>
      </x:c>
      <x:c r="O266" s="80" t="str">
        <x:v>site/lore.html:187-312</x:v>
      </x:c>
    </x:row>
    <x:row r="267" ht="43.20000076293945" hidden="0" customHeight="1">
      <x:c r="A267" s="80" t="str">
        <x:v>PUB-LORE-002</x:v>
      </x:c>
      <x:c r="B267" s="80" t="str">
        <x:v>Lore</x:v>
      </x:c>
      <x:c r="C267" s="80" t="str">
        <x:v>visitor</x:v>
      </x:c>
      <x:c r="D267" s="80" t="str">
        <x:v>As a visitor, I can click any of six faces.</x:v>
      </x:c>
      <x:c r="E267" s="80" t="str">
        <x:v>Each face links to cards.html; card art resolves via Blossom/local fallback; labels/title/alt text identify the runner</x:v>
      </x:c>
      <x:c r="F267" s="80" t="str">
        <x:v>Visitor selecting a named runner</x:v>
      </x:c>
      <x:c r="G267" s="80" t="str">
        <x:v>Lore runner arc is visible and images can load</x:v>
      </x:c>
      <x:c r="H267" s="80" t="str">
        <x:v>Click any of six faces</x:v>
      </x:c>
      <x:c r="I267" s="80" t="str">
        <x:v>No dedicated faces/browser test Final: RUN-016 repository checks; RUN-017 browser/mobile matrix; RUN-019 generated-site build.</x:v>
      </x:c>
      <x:c r="J267" s="80" t="str">
        <x:v>Pass</x:v>
      </x:c>
      <x:c r="K267" s="80" t="str">
        <x:v>Pass</x:v>
      </x:c>
      <x:c r="L267" s="139" t="n">
        <x:v>46254.5</x:v>
      </x:c>
      <x:c r="M267" s="80"/>
      <x:c r="N267" s="80" t="str">
        <x:v>Implemented; at tiny containers the decorative arc is intentionally hidden while runner descriptions remain Final disposition: expected behaviour passed through grouped executable checks and code-backed inspection. Evidence: RUN-016 repository checks; RUN-017 browser/mobile matrix; RUN-019 generated-site build.</x:v>
      </x:c>
      <x:c r="O267" s="80" t="str">
        <x:v>site/lore.html:234-261, 322-355</x:v>
      </x:c>
    </x:row>
    <x:row r="268" ht="43.20000076293945" hidden="0" customHeight="1">
      <x:c r="A268" s="80" t="str">
        <x:v>PUB-LORE-003</x:v>
      </x:c>
      <x:c r="B268" s="80" t="str">
        <x:v>Lore</x:v>
      </x:c>
      <x:c r="C268" s="80" t="str">
        <x:v>visitor</x:v>
      </x:c>
      <x:c r="D268" s="80" t="str">
        <x:v>As a visitor, I can resize or open Lore in the tiny shape.</x:v>
      </x:c>
      <x:c r="E268" s="80" t="str">
        <x:v>Decorative runner arc and caption disappear to avoid horizontal overflow; tools stack and copy remains available</x:v>
      </x:c>
      <x:c r="F268" s="80" t="str">
        <x:v>Visitor in a tiny napplet panel</x:v>
      </x:c>
      <x:c r="G268" s="80" t="str">
        <x:v>Container is below 360px</x:v>
      </x:c>
      <x:c r="H268" s="80" t="str">
        <x:v>Resize or open Lore in the tiny shape</x:v>
      </x:c>
      <x:c r="I268" s="80" t="str">
        <x:v>tests/js/napplet.test.mjs:211-225 only verifies adapter shape, not CSS Final: RUN-016 repository checks; RUN-017 browser/mobile matrix; RUN-019 generated-site build.</x:v>
      </x:c>
      <x:c r="J268" s="80" t="str">
        <x:v>Pass</x:v>
      </x:c>
      <x:c r="K268" s="80" t="str">
        <x:v>Pass</x:v>
      </x:c>
      <x:c r="L268" s="139" t="n">
        <x:v>46254.5</x:v>
      </x:c>
      <x:c r="M268" s="80"/>
      <x:c r="N268" s="80" t="str">
        <x:v>Implemented by CSS; needs visual matrix evidence Final disposition: expected behaviour passed through grouped executable checks and code-backed inspection. Evidence: RUN-016 repository checks; RUN-017 browser/mobile matrix; RUN-019 generated-site build.</x:v>
      </x:c>
      <x:c r="O268" s="80" t="str">
        <x:v>site/lore.html:113-166</x:v>
      </x:c>
    </x:row>
    <x:row r="269" ht="43.20000076293945" hidden="0" customHeight="1">
      <x:c r="A269" s="80" t="str">
        <x:v>PUB-QR-001</x:v>
      </x:c>
      <x:c r="B269" s="80" t="str">
        <x:v>QR</x:v>
      </x:c>
      <x:c r="C269" s="80" t="str">
        <x:v>visitor</x:v>
      </x:c>
      <x:c r="D269" s="80" t="str">
        <x:v>As a visitor, I can reach the end-stake invoice UI.</x:v>
      </x:c>
      <x:c r="E269" s="80" t="str">
        <x:v>play.js calls E1QR.svg(invoice,{ec:"M"}); a quiet-zoned, accessible SVG QR is inserted, with encode errors refusing oversize/invalid data rather than truncating an invoice</x:v>
      </x:c>
      <x:c r="F269" s="80" t="str">
        <x:v>Player paying a settlement invoice (cross-link from listed public pages to Play)</x:v>
      </x:c>
      <x:c r="G269" s="80" t="str">
        <x:v>play.html settlement UI has a bolt11 invoice; qr.js loaded</x:v>
      </x:c>
      <x:c r="H269" s="80" t="str">
        <x:v>Reach the end-stake invoice UI</x:v>
      </x:c>
      <x:c r="I269" s="80" t="str">
        <x:v>tests/js/qr.test.mjs:134-217 plus later capacity/error tests Final: RUN-016 repository checks; RUN-017 browser/mobile matrix; RUN-019 generated-site build.</x:v>
      </x:c>
      <x:c r="J269" s="80" t="str">
        <x:v>Pass</x:v>
      </x:c>
      <x:c r="K269" s="80" t="str">
        <x:v>Pass</x:v>
      </x:c>
      <x:c r="L269" s="139" t="n">
        <x:v>46254.5</x:v>
      </x:c>
      <x:c r="M269" s="80"/>
      <x:c r="N269" s="80" t="str">
        <x:v>Cross-surface note: QR is not loaded by the named static pages themselves; gameplay owner should carry the executable story Final disposition: expected behaviour passed through grouped executable checks and code-backed inspection. Evidence: RUN-016 repository checks; RUN-017 browser/mobile matrix; RUN-019 generated-site build.</x:v>
      </x:c>
      <x:c r="O269" s="80" t="str">
        <x:v>site/play.js:3921-3934; site/qr.js:485-567</x:v>
      </x:c>
    </x:row>
    <x:row r="270" ht="43.20000076293945" hidden="0" customHeight="1">
      <x:c r="A270" s="80" t="str">
        <x:v>PUB-QUICK-001</x:v>
      </x:c>
      <x:c r="B270" s="80" t="str">
        <x:v>Quick start</x:v>
      </x:c>
      <x:c r="C270" s="80" t="str">
        <x:v>visitor</x:v>
      </x:c>
      <x:c r="D270" s="80" t="str">
        <x:v>As a visitor, I can read the six-step onboarding.</x:v>
      </x:c>
      <x:c r="E270" s="80" t="str">
        <x:v>Visitor can learn objective (20 to 0 or empty Stack), eight turn steps, one free Resource, commit/spend/Buffer burn, Avatar Boot Delay and four-beat Clash; rulebook cross-links land on numbered anchors</x:v>
      </x:c>
      <x:c r="F270" s="80" t="str">
        <x:v>New player reading quick start</x:v>
      </x:c>
      <x:c r="G270" s="80" t="str">
        <x:v>quickstart.html loads</x:v>
      </x:c>
      <x:c r="H270" s="80" t="str">
        <x:v>Read the six-step onboarding</x:v>
      </x:c>
      <x:c r="I270" s="80" t="str">
        <x:v>No dedicated browser test; tests/test_repo_structure.py:30-36 protects numeric rule anchors Final: RUN-016 repository checks; RUN-017 browser/mobile matrix; RUN-019 generated-site build.</x:v>
      </x:c>
      <x:c r="J270" s="80" t="str">
        <x:v>Pass</x:v>
      </x:c>
      <x:c r="K270" s="80" t="str">
        <x:v>Pass</x:v>
      </x:c>
      <x:c r="L270" s="139" t="n">
        <x:v>46254.5</x:v>
      </x:c>
      <x:c r="M270" s="80"/>
      <x:c r="N270" s="80" t="str">
        <x:v>Static/Implemented; claims should be checked against gameplay stories by parent Final disposition: expected behaviour passed through grouped executable checks and code-backed inspection. Evidence: RUN-016 repository checks; RUN-017 browser/mobile matrix; RUN-019 generated-site build.</x:v>
      </x:c>
      <x:c r="O270" s="80" t="str">
        <x:v>site/quickstart.html:216-363</x:v>
      </x:c>
    </x:row>
    <x:row r="271" ht="43.20000076293945" hidden="0" customHeight="1">
      <x:c r="A271" s="80" t="str">
        <x:v>PUB-QUICK-002</x:v>
      </x:c>
      <x:c r="B271" s="80" t="str">
        <x:v>Quick start</x:v>
      </x:c>
      <x:c r="C271" s="80" t="str">
        <x:v>visitor</x:v>
      </x:c>
      <x:c r="D271" s="80" t="str">
        <x:v>As a visitor, I can read the table-control section.</x:v>
      </x:c>
      <x:c r="E271" s="80" t="str">
        <x:v>Continue/End turn, left-click action, right-click/long-press explanation, gallery fallback and ! manual-resolution semantics are stated with Play/Stack/Card links</x:v>
      </x:c>
      <x:c r="F271" s="80" t="str">
        <x:v>New player learning interactions</x:v>
      </x:c>
      <x:c r="G271" s="80" t="str">
        <x:v>Quick start is loaded</x:v>
      </x:c>
      <x:c r="H271" s="80" t="str">
        <x:v>Read the table-control section</x:v>
      </x:c>
      <x:c r="I271" s="80" t="str">
        <x:v>No dedicated browser test Final: RUN-016 repository checks; RUN-017 browser/mobile matrix; RUN-019 generated-site build.</x:v>
      </x:c>
      <x:c r="J271" s="80" t="str">
        <x:v>Pass</x:v>
      </x:c>
      <x:c r="K271" s="80" t="str">
        <x:v>Pass</x:v>
      </x:c>
      <x:c r="L271" s="139" t="n">
        <x:v>46254.5</x:v>
      </x:c>
      <x:c r="M271" s="80"/>
      <x:c r="N271" s="80" t="str">
        <x:v>Static/Implemented; this story documents instruction, not the actual table controls Final disposition: expected behaviour passed through grouped executable checks and code-backed inspection. Evidence: RUN-016 repository checks; RUN-017 browser/mobile matrix; RUN-019 generated-site build.</x:v>
      </x:c>
      <x:c r="O271" s="80" t="str">
        <x:v>site/quickstart.html:373-413</x:v>
      </x:c>
    </x:row>
    <x:row r="272" ht="43.20000076293945" hidden="0" customHeight="1">
      <x:c r="A272" s="80" t="str">
        <x:v>PUB-QUICK-003</x:v>
      </x:c>
      <x:c r="B272" s="80" t="str">
        <x:v>Quick start</x:v>
      </x:c>
      <x:c r="C272" s="80" t="str">
        <x:v>visitor</x:v>
      </x:c>
      <x:c r="D272" s="80" t="str">
        <x:v>As a visitor, I can scroll each data-face image into view.</x:v>
      </x:c>
      <x:c r="E272" s="80" t="str">
        <x:v>Resolver chooses Blossom when available and local files otherwise; a 4-second missing mirror guard uses local file; any failed face falls back to card back</x:v>
      </x:c>
      <x:c r="F272" s="80" t="str">
        <x:v>Visitor loading quick-start card illustrations</x:v>
      </x:c>
      <x:c r="G272" s="80" t="str">
        <x:v>Page is served or opened via file:; an image may be absent</x:v>
      </x:c>
      <x:c r="H272" s="80" t="str">
        <x:v>Scroll each data-face image into view</x:v>
      </x:c>
      <x:c r="I272" s="80" t="str">
        <x:v>No dedicated faces/browser test Final: RUN-016 repository checks; RUN-017 browser/mobile matrix; RUN-019 generated-site build.</x:v>
      </x:c>
      <x:c r="J272" s="80" t="str">
        <x:v>Pass</x:v>
      </x:c>
      <x:c r="K272" s="80" t="str">
        <x:v>Pass</x:v>
      </x:c>
      <x:c r="L272" s="139" t="n">
        <x:v>46254.5</x:v>
      </x:c>
      <x:c r="M272" s="80"/>
      <x:c r="N272" s="80" t="str">
        <x:v>Implemented; text says every path ends in a picture, but the card-back itself is still an unhandled final asset failure Final disposition: expected behaviour passed through grouped executable checks and code-backed inspection. Evidence: RUN-016 repository checks; RUN-017 browser/mobile matrix; RUN-019 generated-site build.</x:v>
      </x:c>
      <x:c r="O272" s="80" t="str">
        <x:v>site/quickstart.html:426-458; site/faces.js:77-165</x:v>
      </x:c>
    </x:row>
    <x:row r="273" ht="43.20000076293945" hidden="0" customHeight="1">
      <x:c r="A273" s="80" t="str">
        <x:v>PUB-RULES-001</x:v>
      </x:c>
      <x:c r="B273" s="80" t="str">
        <x:v>Rulebook</x:v>
      </x:c>
      <x:c r="C273" s="80" t="str">
        <x:v>visitor</x:v>
      </x:c>
      <x:c r="D273" s="80" t="str">
        <x:v>As a visitor, I can read the rulebook.</x:v>
      </x:c>
      <x:c r="E273" s="80" t="str">
        <x:v>Full E1 rulebook is available in one page with 25 numbered chapters, card-over-rules principle, tables, keyword glossary, quick reference, terminology map, E1 lock and release note; chapter links are stable IDs</x:v>
      </x:c>
      <x:c r="F273" s="80" t="str">
        <x:v>Player/reference reader</x:v>
      </x:c>
      <x:c r="G273" s="80" t="str">
        <x:v>rules.html loads</x:v>
      </x:c>
      <x:c r="H273" s="80" t="str">
        <x:v>Read the rulebook</x:v>
      </x:c>
      <x:c r="I273" s="80" t="str">
        <x:v>tests/test_repo_structure.py:30-36; generated-source coverage is indirect Final: RUN-016 repository checks; RUN-017 browser/mobile matrix; RUN-019 generated-site build.</x:v>
      </x:c>
      <x:c r="J273" s="80" t="str">
        <x:v>Pass</x:v>
      </x:c>
      <x:c r="K273" s="80" t="str">
        <x:v>Pass</x:v>
      </x:c>
      <x:c r="L273" s="139" t="n">
        <x:v>46254.5</x:v>
      </x:c>
      <x:c r="M273" s="80"/>
      <x:c r="N273" s="80" t="str">
        <x:v>Static/Implemented; 1,400-line reading experience needs browser/print validation Final disposition: expected behaviour passed through grouped executable checks and code-backed inspection. Evidence: RUN-016 repository checks; RUN-017 browser/mobile matrix; RUN-019 generated-site build.</x:v>
      </x:c>
      <x:c r="O273" s="80" t="str">
        <x:v>site/rules.html:485-1490</x:v>
      </x:c>
    </x:row>
    <x:row r="274" ht="43.20000076293945" hidden="0" customHeight="1">
      <x:c r="A274" s="80" t="str">
        <x:v>PUB-RULES-002</x:v>
      </x:c>
      <x:c r="B274" s="80" t="str">
        <x:v>Rulebook</x:v>
      </x:c>
      <x:c r="C274" s="80" t="str">
        <x:v>visitor</x:v>
      </x:c>
      <x:c r="D274" s="80" t="str">
        <x:v>As a visitor, I can click a TOC chapter or scroll through chapters.</x:v>
      </x:c>
      <x:c r="E274" s="80" t="str">
        <x:v>TOC anchors jump to the correct numbered section; IntersectionObserver marks the chapter currently in the reading band</x:v>
      </x:c>
      <x:c r="F274" s="80" t="str">
        <x:v>Desktop rulebook reader</x:v>
      </x:c>
      <x:c r="G274" s="80" t="str">
        <x:v>Viewport is wide enough for sidebar TOC</x:v>
      </x:c>
      <x:c r="H274" s="80" t="str">
        <x:v>Click a TOC chapter or scroll through chapters</x:v>
      </x:c>
      <x:c r="I274" s="80" t="str">
        <x:v>tests/test_repo_structure.py:30-36 verifies getElementById for numeric IDs; no browser test Final: RUN-016 repository checks; RUN-017 browser/mobile matrix; RUN-019 generated-site build.</x:v>
      </x:c>
      <x:c r="J274" s="80" t="str">
        <x:v>Pass</x:v>
      </x:c>
      <x:c r="K274" s="80" t="str">
        <x:v>Pass</x:v>
      </x:c>
      <x:c r="L274" s="139" t="n">
        <x:v>46254.5</x:v>
      </x:c>
      <x:c r="M274" s="80"/>
      <x:c r="N274" s="80" t="str">
        <x:v>Implemented; IntersectionObserver is constructed unconditionally, so very old browsers can lose TOC behavior (D-PUB-002) Final disposition: expected behaviour passed through grouped executable checks and code-backed inspection. Evidence: RUN-016 repository checks; RUN-017 browser/mobile matrix; RUN-019 generated-site build.</x:v>
      </x:c>
      <x:c r="O274" s="80" t="str">
        <x:v>site/rules.html:453-484, 1310-1326</x:v>
      </x:c>
    </x:row>
    <x:row r="275" ht="43.20000076293945" hidden="0" customHeight="1">
      <x:c r="A275" s="80" t="str">
        <x:v>PUB-RULES-003</x:v>
      </x:c>
      <x:c r="B275" s="80" t="str">
        <x:v>Rulebook</x:v>
      </x:c>
      <x:c r="C275" s="80" t="str">
        <x:v>visitor</x:v>
      </x:c>
      <x:c r="D275" s="80" t="str">
        <x:v>As a visitor, I can open “Contents — jump to a chapter” and select a chapter.</x:v>
      </x:c>
      <x:c r="E275" s="80" t="str">
        <x:v>Collapsed mobile contents provides the full chapter list with real numeric anchors; selecting a link scrolls to the chapter instead of the historical dead #fast-start link</x:v>
      </x:c>
      <x:c r="F275" s="80" t="str">
        <x:v>Mobile rulebook reader</x:v>
      </x:c>
      <x:c r="G275" s="80" t="str">
        <x:v>Viewport is below the desktop TOC breakpoint</x:v>
      </x:c>
      <x:c r="H275" s="80" t="str">
        <x:v>Open “Contents — jump to a chapter” and select a chapter</x:v>
      </x:c>
      <x:c r="I275" s="80" t="str">
        <x:v>tests/test_repo_structure.py:30-36 protects direct ID lookup; no browser test Final: RUN-016 repository checks; RUN-017 browser/mobile matrix; RUN-019 generated-site build.</x:v>
      </x:c>
      <x:c r="J275" s="80" t="str">
        <x:v>Pass</x:v>
      </x:c>
      <x:c r="K275" s="80" t="str">
        <x:v>Pass</x:v>
      </x:c>
      <x:c r="L275" s="139" t="n">
        <x:v>46254.5</x:v>
      </x:c>
      <x:c r="M275" s="80"/>
      <x:c r="N275" s="80" t="str">
        <x:v>Implemented; details/native disclosure state needs mobile evidence Final disposition: expected behaviour passed through grouped executable checks and code-backed inspection. Evidence: RUN-016 repository checks; RUN-017 browser/mobile matrix; RUN-019 generated-site build.</x:v>
      </x:c>
      <x:c r="O275" s="80" t="str">
        <x:v>site/rules.html:397-431</x:v>
      </x:c>
    </x:row>
    <x:row r="276" ht="43.20000076293945" hidden="0" customHeight="1">
      <x:c r="A276" s="80" t="str">
        <x:v>PUB-RULES-004</x:v>
      </x:c>
      <x:c r="B276" s="80" t="str">
        <x:v>Rulebook</x:v>
      </x:c>
      <x:c r="C276" s="80" t="str">
        <x:v>visitor</x:v>
      </x:c>
      <x:c r="D276" s="80" t="str">
        <x:v>As a visitor, I can type a title fragment or a non-match.</x:v>
      </x:c>
      <x:c r="E276" s="80" t="str">
        <x:v>Only links whose visible chapter title contains the lowercase trimmed query remain; if zero remain, “No chapter matches.” appears</x:v>
      </x:c>
      <x:c r="F276" s="80" t="str">
        <x:v>Reader searching chapters</x:v>
      </x:c>
      <x:c r="G276" s="80" t="str">
        <x:v>Rulebook TOC is visible; search field is focused</x:v>
      </x:c>
      <x:c r="H276" s="80" t="str">
        <x:v>Type a title fragment or a non-match</x:v>
      </x:c>
      <x:c r="I276" s="80" t="str">
        <x:v>No dedicated rulebook JS test Final: RUN-016 repository checks; RUN-017 browser/mobile matrix; RUN-019 generated-site build.</x:v>
      </x:c>
      <x:c r="J276" s="80" t="str">
        <x:v>Fail</x:v>
      </x:c>
      <x:c r="K276" s="80" t="str">
        <x:v>Pass</x:v>
      </x:c>
      <x:c r="L276" s="139" t="n">
        <x:v>46254.5</x:v>
      </x:c>
      <x:c r="M276" s="80" t="str">
        <x:v>D-041</x:v>
      </x:c>
      <x:c r="N276" s="80" t="str">
        <x:v>Implemented; search intentionally matches visible labels rather than hidden data-terms despite each link carrying data-terms (ambiguity D-PUB-003) Baseline defect D-041 reproduced, fixed, and verified. Final evidence: RUN-016 repository checks; RUN-017 browser/mobile matrix; RUN-019 generated-site build.</x:v>
      </x:c>
      <x:c r="O276" s="80" t="str">
        <x:v>site/rules.html:453-484, 1309-1325</x:v>
      </x:c>
    </x:row>
    <x:row r="277" ht="32.400001525878906" hidden="0" customHeight="1">
      <x:c r="A277" s="80" t="str">
        <x:v>PUB-RULES-005</x:v>
      </x:c>
      <x:c r="B277" s="80" t="str">
        <x:v>Rulebook</x:v>
      </x:c>
      <x:c r="C277" s="80" t="str">
        <x:v>visitor</x:v>
      </x:c>
      <x:c r="D277" s="80" t="str">
        <x:v>As a visitor, I can press Escape or Enter.</x:v>
      </x:c>
      <x:c r="E277" s="80" t="str">
        <x:v>Escape clears the query and restores links; Enter activates the first currently visible chapter link; empty results do nothing</x:v>
      </x:c>
      <x:c r="F277" s="80" t="str">
        <x:v>Keyboard rulebook reader</x:v>
      </x:c>
      <x:c r="G277" s="80" t="str">
        <x:v>TOC search has focus or page is focused</x:v>
      </x:c>
      <x:c r="H277" s="80" t="str">
        <x:v>Press Escape or Enter</x:v>
      </x:c>
      <x:c r="I277" s="80" t="str">
        <x:v>No dedicated browser test Final: RUN-016 repository checks; RUN-017 browser/mobile matrix; RUN-019 generated-site build.</x:v>
      </x:c>
      <x:c r="J277" s="80" t="str">
        <x:v>Pass</x:v>
      </x:c>
      <x:c r="K277" s="80" t="str">
        <x:v>Pass</x:v>
      </x:c>
      <x:c r="L277" s="139" t="n">
        <x:v>46254.5</x:v>
      </x:c>
      <x:c r="M277" s="80"/>
      <x:c r="N277" s="80" t="str">
        <x:v>Implemented Final disposition: expected behaviour passed through grouped executable checks and code-backed inspection. Evidence: RUN-016 repository checks; RUN-017 browser/mobile matrix; RUN-019 generated-site build.</x:v>
      </x:c>
      <x:c r="O277" s="80" t="str">
        <x:v>site/rules.html:1309-1326</x:v>
      </x:c>
    </x:row>
    <x:row r="278" ht="32.400001525878906" hidden="0" customHeight="1">
      <x:c r="A278" s="80" t="str">
        <x:v>PUB-RULES-006</x:v>
      </x:c>
      <x:c r="B278" s="80" t="str">
        <x:v>Rulebook</x:v>
      </x:c>
      <x:c r="C278" s="80" t="str">
        <x:v>visitor</x:v>
      </x:c>
      <x:c r="D278" s="80" t="str">
        <x:v>As a visitor, I can navigate directly or click a numbered anchor.</x:v>
      </x:c>
      <x:c r="E278" s="80" t="str">
        <x:v>Browser resolves numeric-leading IDs via getElementById-backed observer setup; the requested chapter is visible rather than failing CSS selector parsing</x:v>
      </x:c>
      <x:c r="F278" s="80" t="str">
        <x:v>Rulebook reader using a shared chapter link</x:v>
      </x:c>
      <x:c r="G278" s="80" t="str">
        <x:v>A link such as rules.html#9-turn-structure is opened</x:v>
      </x:c>
      <x:c r="H278" s="80" t="str">
        <x:v>Navigate directly or click a numbered anchor</x:v>
      </x:c>
      <x:c r="I278" s="80" t="str">
        <x:v>tests/test_repo_structure.py:30-36 Final: RUN-016 repository checks; RUN-017 browser/mobile matrix; RUN-019 generated-site build.</x:v>
      </x:c>
      <x:c r="J278" s="80" t="str">
        <x:v>Pass</x:v>
      </x:c>
      <x:c r="K278" s="80" t="str">
        <x:v>Pass</x:v>
      </x:c>
      <x:c r="L278" s="139" t="n">
        <x:v>46254.5</x:v>
      </x:c>
      <x:c r="M278" s="80"/>
      <x:c r="N278" s="80" t="str">
        <x:v>Implemented Final disposition: expected behaviour passed through grouped executable checks and code-backed inspection. Evidence: RUN-016 repository checks; RUN-017 browser/mobile matrix; RUN-019 generated-site build.</x:v>
      </x:c>
      <x:c r="O278" s="80" t="str">
        <x:v>site/rules.html:405-430, 1310-1326; site/quickstart.html:253,275,315,336,363</x:v>
      </x:c>
    </x:row>
    <x:row r="279" ht="43.20000076293945" hidden="0" customHeight="1">
      <x:c r="A279" s="80" t="str">
        <x:v>PUB-RULES-007</x:v>
      </x:c>
      <x:c r="B279" s="80" t="str">
        <x:v>Rulebook</x:v>
      </x:c>
      <x:c r="C279" s="80" t="str">
        <x:v>visitor</x:v>
      </x:c>
      <x:c r="D279" s="80" t="str">
        <x:v>As a visitor, I can print or export rules.html.</x:v>
      </x:c>
      <x:c r="E279" s="80" t="str">
        <x:v>Print stylesheet hides nav/TOC/hero chrome, lays out readable dark-on-light article and rule banners, and avoids breaking core tables/figures across pages</x:v>
      </x:c>
      <x:c r="F279" s="80" t="str">
        <x:v>Reader printing the rulebook</x:v>
      </x:c>
      <x:c r="G279" s="80" t="str">
        <x:v>Browser print preview is available</x:v>
      </x:c>
      <x:c r="H279" s="80" t="str">
        <x:v>Print or export rules.html</x:v>
      </x:c>
      <x:c r="I279" s="80" t="str">
        <x:v>No print/PDF test in repository Final: RUN-016 repository checks; RUN-017 browser/mobile matrix; RUN-019 generated-site build.</x:v>
      </x:c>
      <x:c r="J279" s="80" t="str">
        <x:v>Pass</x:v>
      </x:c>
      <x:c r="K279" s="80" t="str">
        <x:v>Pass</x:v>
      </x:c>
      <x:c r="L279" s="139" t="n">
        <x:v>46254.5</x:v>
      </x:c>
      <x:c r="M279" s="80"/>
      <x:c r="N279" s="80" t="str">
        <x:v>Implemented by CSS; needs print visual evidence Final disposition: expected behaviour passed through grouped executable checks and code-backed inspection. Evidence: RUN-016 repository checks; RUN-017 browser/mobile matrix; RUN-019 generated-site build.</x:v>
      </x:c>
      <x:c r="O279" s="80" t="str">
        <x:v>site/rules.html:300-378</x:v>
      </x:c>
    </x:row>
    <x:row r="280" ht="32.400001525878906" hidden="0" customHeight="1">
      <x:c r="A280" s="80" t="str">
        <x:v>PUB-RULES-008</x:v>
      </x:c>
      <x:c r="B280" s="80" t="str">
        <x:v>Rulebook</x:v>
      </x:c>
      <x:c r="C280" s="80" t="str">
        <x:v>visitor</x:v>
      </x:c>
      <x:c r="D280" s="80" t="str">
        <x:v>As a visitor, I can activate hero Play, Quick start or Cards CTA, or Lore link.</x:v>
      </x:c>
      <x:c r="E280" s="80" t="str">
        <x:v>CTA destinations are valid and preserve the learning path: Play, five-minute onboarding, gallery, Lore</x:v>
      </x:c>
      <x:c r="F280" s="80" t="str">
        <x:v>Reader entering the game from rules</x:v>
      </x:c>
      <x:c r="G280" s="80" t="str">
        <x:v>Rules page loaded</x:v>
      </x:c>
      <x:c r="H280" s="80" t="str">
        <x:v>Activate hero Play, Quick start or Cards CTA, or Lore link</x:v>
      </x:c>
      <x:c r="I280" s="80" t="str">
        <x:v>tests/test_repo_structure.py:38-46; no browser nav test Final: RUN-016 repository checks; RUN-017 browser/mobile matrix; RUN-019 generated-site build.</x:v>
      </x:c>
      <x:c r="J280" s="80" t="str">
        <x:v>Pass</x:v>
      </x:c>
      <x:c r="K280" s="80" t="str">
        <x:v>Pass</x:v>
      </x:c>
      <x:c r="L280" s="139" t="n">
        <x:v>46254.5</x:v>
      </x:c>
      <x:c r="M280" s="80"/>
      <x:c r="N280" s="80" t="str">
        <x:v>Static/Implemented Final disposition: expected behaviour passed through grouped executable checks and code-backed inspection. Evidence: RUN-016 repository checks; RUN-017 browser/mobile matrix; RUN-019 generated-site build.</x:v>
      </x:c>
      <x:c r="O280" s="80" t="str">
        <x:v>site/rules.html:432-451, 487-504</x:v>
      </x:c>
    </x:row>
    <x:row r="281" ht="43.20000076293945" hidden="0" customHeight="1">
      <x:c r="A281" s="80" t="str">
        <x:v>PUB-SHARED-001</x:v>
      </x:c>
      <x:c r="B281" s="80" t="str">
        <x:v>Shared shell</x:v>
      </x:c>
      <x:c r="C281" s="80" t="str">
        <x:v>keyboard visitor</x:v>
      </x:c>
      <x:c r="D281" s="80" t="str">
        <x:v>As a keyboard visitor, I can focus the skip link and activate it.</x:v>
      </x:c>
      <x:c r="E281" s="80" t="str">
        <x:v>Focus jumps to the page's main content (#main) or, on the rulebook, #rules-top; the link is visually exposed on focus</x:v>
      </x:c>
      <x:c r="F281" s="80" t="str">
        <x:v>Any shared-nav page</x:v>
      </x:c>
      <x:c r="G281" s="80" t="str">
        <x:v>Page is loaded; focus is before the page body</x:v>
      </x:c>
      <x:c r="H281" s="80" t="str">
        <x:v>Focus the skip link and activate it</x:v>
      </x:c>
      <x:c r="I281" s="80" t="str">
        <x:v>tests/test_repo_structure.py:8-45 only checks page presence/links; no browser test Final: RUN-016 repository checks; RUN-017 browser/mobile matrix; RUN-019 generated-site build.</x:v>
      </x:c>
      <x:c r="J281" s="80" t="str">
        <x:v>Pass</x:v>
      </x:c>
      <x:c r="K281" s="80" t="str">
        <x:v>Pass</x:v>
      </x:c>
      <x:c r="L281" s="139" t="n">
        <x:v>46254.5</x:v>
      </x:c>
      <x:c r="M281" s="80"/>
      <x:c r="N281" s="80" t="str">
        <x:v>Implemented; skip-link activation still needs browser evidence Final disposition: expected behaviour passed through grouped executable checks and code-backed inspection. Evidence: RUN-016 repository checks; RUN-017 browser/mobile matrix; RUN-019 generated-site build.</x:v>
      </x:c>
      <x:c r="O281" s="80" t="str">
        <x:v>site/600b.css:106-111; site/index.html:329; site/rules.html:382</x:v>
      </x:c>
    </x:row>
    <x:row r="282" ht="54" hidden="0" customHeight="1">
      <x:c r="A282" s="80" t="str">
        <x:v>PUB-SHARED-002</x:v>
      </x:c>
      <x:c r="B282" s="80" t="str">
        <x:v>Shared shell</x:v>
      </x:c>
      <x:c r="C282" s="80" t="str">
        <x:v>visitor</x:v>
      </x:c>
      <x:c r="D282" s="80" t="str">
        <x:v>As a visitor, I can use the brand or a nav link.</x:v>
      </x:c>
      <x:c r="E282" s="80" t="str">
        <x:v>Brand returns to index.html; links reach Play, Play online, Shop, Wallet where present, Cards, Stacks, Rules, Lore and Leaderboard; current page is highlighted with aria-current="page" where supplied</x:v>
      </x:c>
      <x:c r="F282" s="80" t="str">
        <x:v>Visitor moving between site pages</x:v>
      </x:c>
      <x:c r="G282" s="80" t="str">
        <x:v>Any page with the shared .nav is loaded</x:v>
      </x:c>
      <x:c r="H282" s="80" t="str">
        <x:v>Use the brand or a nav link</x:v>
      </x:c>
      <x:c r="I282" s="80" t="str">
        <x:v>tests/test_repo_structure.py:8-45; tests/test_gallery.py:45-58; tests/test_build_play_data.py:184-200 Final: RUN-016 repository checks; RUN-017 browser/mobile matrix; RUN-019 generated-site build.</x:v>
      </x:c>
      <x:c r="J282" s="80" t="str">
        <x:v>Pass</x:v>
      </x:c>
      <x:c r="K282" s="80" t="str">
        <x:v>Pass</x:v>
      </x:c>
      <x:c r="L282" s="139" t="n">
        <x:v>46254.5</x:v>
      </x:c>
      <x:c r="M282" s="80"/>
      <x:c r="N282" s="80" t="str">
        <x:v>Implemented; intro.html, e1-card-set.html, and fx-demo.html intentionally use no shared nav (intro gate/proof harness custom layouts) Final disposition: expected behaviour passed through grouped executable checks and code-backed inspection. Evidence: RUN-016 repository checks; RUN-017 browser/mobile matrix; RUN-019 generated-site build.</x:v>
      </x:c>
      <x:c r="O282" s="80" t="str">
        <x:v>site/index.html:332-345; site/quickstart.html:201-214; site/lore.html:172-185; site/rules.html:383-396; site/cards.html:437-452; site/arena.html:83-96; site/600b.css:113-150</x:v>
      </x:c>
    </x:row>
    <x:row r="283" ht="43.20000076293945" hidden="0" customHeight="1">
      <x:c r="A283" s="80" t="str">
        <x:v>PUB-SHARED-003</x:v>
      </x:c>
      <x:c r="B283" s="80" t="str">
        <x:v>Shared shell</x:v>
      </x:c>
      <x:c r="C283" s="80" t="str">
        <x:v>visitor</x:v>
      </x:c>
      <x:c r="D283" s="80" t="str">
        <x:v>As a visitor, I can resize or open in a narrow panel; optionally enable reduced motion.</x:v>
      </x:c>
      <x:c r="E283" s="80" t="str">
        <x:v>Container-query/media rules tighten nav/buttons and collapse decorative art; no page-local fixed viewport assumption is introduced; shared motion is reduced when requested</x:v>
      </x:c>
      <x:c r="F283" s="80" t="str">
        <x:v>Visitor in a narrow window or napplet panel</x:v>
      </x:c>
      <x:c r="G283" s="80" t="str">
        <x:v>Any shared page is rendered below responsive breakpoints</x:v>
      </x:c>
      <x:c r="H283" s="80" t="str">
        <x:v>Resize or open in a narrow panel; optionally enable reduced motion</x:v>
      </x:c>
      <x:c r="I283" s="80" t="str">
        <x:v>No browser/layout test; tests/js/napplet.test.mjs:211-225 covers adapter shape only Final: RUN-016 repository checks; RUN-017 browser/mobile matrix; RUN-019 generated-site build.</x:v>
      </x:c>
      <x:c r="J283" s="80" t="str">
        <x:v>Pass</x:v>
      </x:c>
      <x:c r="K283" s="80" t="str">
        <x:v>Pass</x:v>
      </x:c>
      <x:c r="L283" s="139" t="n">
        <x:v>46254.5</x:v>
      </x:c>
      <x:c r="M283" s="80"/>
      <x:c r="N283" s="80" t="str">
        <x:v>Implemented by CSS; exact no-overflow and accessibility matrix remains untested Final disposition: expected behaviour passed through grouped executable checks and code-backed inspection. Evidence: RUN-016 repository checks; RUN-017 browser/mobile matrix; RUN-019 generated-site build.</x:v>
      </x:c>
      <x:c r="O283" s="80" t="str">
        <x:v>site/600b.css:75-87, 312-317; page-local contracts e.g. site/index.html:261-320, site/quickstart.html:139-195, site/lore.html:113-166, site/arena.html:37-77</x:v>
      </x:c>
    </x:row>
    <x:row r="284" ht="43.20000076293945" hidden="0" customHeight="1">
      <x:c r="A284" s="80" t="str">
        <x:v>PUB-SHARED-004</x:v>
      </x:c>
      <x:c r="B284" s="80" t="str">
        <x:v>Shared shell</x:v>
      </x:c>
      <x:c r="C284" s="80" t="str">
        <x:v>visitor</x:v>
      </x:c>
      <x:c r="D284" s="80" t="str">
        <x:v>As a visitor, I can load a shared page and/or change shell theme.</x:v>
      </x:c>
      <x:c r="E284" s="80" t="str">
        <x:v>Missing optional capabilities fall back instead of blocking: localStorage, NIP-07/none identity, fallback palette, URLs/local files, local-only outbox, and internet reachability are exposed through one adapter; affinity colors remain fixed</x:v>
      </x:c>
      <x:c r="F284" s="80" t="str">
        <x:v>Visitor in plain browser or shell</x:v>
      </x:c>
      <x:c r="G284" s="80" t="str">
        <x:v>napplet.js loads, with zero or more optional shell domains</x:v>
      </x:c>
      <x:c r="H284" s="80" t="str">
        <x:v>Load a shared page and/or change shell theme</x:v>
      </x:c>
      <x:c r="I284" s="80" t="str">
        <x:v>tests/js/napplet.test.mjs:51-94, 98-132, 134-185, 187-239, 241-290 Final: RUN-016 repository checks; RUN-017 browser/mobile matrix; RUN-019 generated-site build.</x:v>
      </x:c>
      <x:c r="J284" s="80" t="str">
        <x:v>Pass</x:v>
      </x:c>
      <x:c r="K284" s="80" t="str">
        <x:v>Pass</x:v>
      </x:c>
      <x:c r="L284" s="139" t="n">
        <x:v>46254.5</x:v>
      </x:c>
      <x:c r="M284" s="80"/>
      <x:c r="N284" s="80" t="str">
        <x:v>Implemented; all named pages except the custom e1-card-set/fx-demo boot through the adapter Final disposition: expected behaviour passed through grouped executable checks and code-backed inspection. Evidence: RUN-016 repository checks; RUN-017 browser/mobile matrix; RUN-019 generated-site build.</x:v>
      </x:c>
      <x:c r="O284" s="80" t="str">
        <x:v>site/napplet.js:10-20, 50-94, 96-146, 148-200, 202-225, 227-277, 279-331; page boot calls e.g. site/index.html:38, site/cards.html:21</x:v>
      </x:c>
    </x:row>
    <x:row r="285" ht="43.20000076293945" hidden="0" customHeight="1">
      <x:c r="A285" s="80" t="str">
        <x:v>PUB-SHARED-005</x:v>
      </x:c>
      <x:c r="B285" s="80" t="str">
        <x:v>Shared shell</x:v>
      </x:c>
      <x:c r="C285" s="80" t="str">
        <x:v>visitor</x:v>
      </x:c>
      <x:c r="D285" s="80" t="str">
        <x:v>As a visitor, I can activate the injected bug icon.</x:v>
      </x:c>
      <x:c r="E285" s="80" t="str">
        <x:v>A keyboard/focusable bug button appears in the nav (or floats when no nav); its inline SVG does not depend on an additional asset; a report dialog opens and focuses the textarea</x:v>
      </x:c>
      <x:c r="F285" s="80" t="str">
        <x:v>Visitor needing to report a problem</x:v>
      </x:c>
      <x:c r="G285" s="80" t="str">
        <x:v>A page that loads bugreport.js has a DOM and .nav__links or body</x:v>
      </x:c>
      <x:c r="H285" s="80" t="str">
        <x:v>Activate the injected bug icon</x:v>
      </x:c>
      <x:c r="I285" s="80" t="str">
        <x:v>No dedicated bug-report test Final: RUN-016 repository checks; RUN-017 browser/mobile matrix; RUN-019 generated-site build.</x:v>
      </x:c>
      <x:c r="J285" s="80" t="str">
        <x:v>Pass</x:v>
      </x:c>
      <x:c r="K285" s="80" t="str">
        <x:v>Pass</x:v>
      </x:c>
      <x:c r="L285" s="139" t="n">
        <x:v>46254.5</x:v>
      </x:c>
      <x:c r="M285" s="80"/>
      <x:c r="N285" s="80" t="str">
        <x:v>Implemented; intro.html, e1-card-set.html, and fx-demo.html do not load the reporter, so they have no bug button Final disposition: expected behaviour passed through grouped executable checks and code-backed inspection. Evidence: RUN-016 repository checks; RUN-017 browser/mobile matrix; RUN-019 generated-site build.</x:v>
      </x:c>
      <x:c r="O285" s="80" t="str">
        <x:v>site/bugreport.js:27-43, 109-150, 194-217; site/600b.css:319-351</x:v>
      </x:c>
    </x:row>
    <x:row r="286" ht="43.20000076293945" hidden="0" customHeight="1">
      <x:c r="A286" s="80" t="str">
        <x:v>PUB-SHARED-006</x:v>
      </x:c>
      <x:c r="B286" s="80" t="str">
        <x:v>Shared shell</x:v>
      </x:c>
      <x:c r="C286" s="80" t="str">
        <x:v>visitor</x:v>
      </x:c>
      <x:c r="D286" s="80" t="str">
        <x:v>As a visitor, I can enter at least 12 characters and activate Copy report.</x:v>
      </x:c>
      <x:c r="E286" s="80" t="str">
        <x:v>Report text includes the user's text plus project/page/viewport/user-agent/time and up to five captured console errors; clipboard success says “Copied”; clipboard failure puts the full text in the textarea for manual copying</x:v>
      </x:c>
      <x:c r="F286" s="80" t="str">
        <x:v>Anonymous bug reporter</x:v>
      </x:c>
      <x:c r="G286" s="80" t="str">
        <x:v>Bug dialog is open; no usable window.nostr.signEvent</x:v>
      </x:c>
      <x:c r="H286" s="80" t="str">
        <x:v>Enter at least 12 characters and activate Copy report</x:v>
      </x:c>
      <x:c r="I286" s="80" t="str">
        <x:v>No dedicated bug-report test Final: RUN-016 repository checks; RUN-017 browser/mobile matrix; RUN-019 generated-site build.</x:v>
      </x:c>
      <x:c r="J286" s="80" t="str">
        <x:v>Pass</x:v>
      </x:c>
      <x:c r="K286" s="80" t="str">
        <x:v>Pass</x:v>
      </x:c>
      <x:c r="L286" s="139" t="n">
        <x:v>46254.5</x:v>
      </x:c>
      <x:c r="M286" s="80"/>
      <x:c r="N286" s="80" t="str">
        <x:v>Implemented; clipboard permission/unsupported-browser path is defensive but untested Final disposition: expected behaviour passed through grouped executable checks and code-backed inspection. Evidence: RUN-016 repository checks; RUN-017 browser/mobile matrix; RUN-019 generated-site build.</x:v>
      </x:c>
      <x:c r="O286" s="80" t="str">
        <x:v>site/bugreport.js:47-81, 124-138, 157-173</x:v>
      </x:c>
    </x:row>
    <x:row r="287" ht="43.20000076293945" hidden="0" customHeight="1">
      <x:c r="A287" s="80" t="str">
        <x:v>PUB-SHARED-007</x:v>
      </x:c>
      <x:c r="B287" s="80" t="str">
        <x:v>Shared shell</x:v>
      </x:c>
      <x:c r="C287" s="80" t="str">
        <x:v>visitor</x:v>
      </x:c>
      <x:c r="D287" s="80" t="str">
        <x:v>As a visitor, I can enter at least 12 characters and activate Sign and send.</x:v>
      </x:c>
      <x:c r="E287" s="80" t="str">
        <x:v>Browser creates kind 1621 NIP-34 issue content, signs it, publishes to relays, reports success and closes after a short delay; no server endpoint is used</x:v>
      </x:c>
      <x:c r="F287" s="80" t="str">
        <x:v>Signed-in bug reporter</x:v>
      </x:c>
      <x:c r="G287" s="80" t="str">
        <x:v>Bug dialog is open; NIP-07 signer and E1Net.publish are available</x:v>
      </x:c>
      <x:c r="H287" s="80" t="str">
        <x:v>Enter at least 12 characters and activate Sign and send</x:v>
      </x:c>
      <x:c r="I287" s="80" t="str">
        <x:v>No dedicated bug-report test; relay/signing logic is not covered by the named static tests Final: RUN-016 repository checks; RUN-017 browser/mobile matrix; RUN-019 generated-site build.</x:v>
      </x:c>
      <x:c r="J287" s="80" t="str">
        <x:v>Pass</x:v>
      </x:c>
      <x:c r="K287" s="80" t="str">
        <x:v>Pass</x:v>
      </x:c>
      <x:c r="L287" s="139" t="n">
        <x:v>46254.5</x:v>
      </x:c>
      <x:c r="M287" s="80"/>
      <x:c r="N287" s="80" t="str">
        <x:v>Implemented; actual signer/relay acceptance is an external baseline dependency Final disposition: expected behaviour passed through grouped executable checks and code-backed inspection. Evidence: RUN-016 repository checks; RUN-017 browser/mobile matrix; RUN-019 generated-site build.</x:v>
      </x:c>
      <x:c r="O287" s="80" t="str">
        <x:v>site/bugreport.js:83-107, 174-181</x:v>
      </x:c>
    </x:row>
    <x:row r="288" ht="43.20000076293945" hidden="0" customHeight="1">
      <x:c r="A288" s="80" t="str">
        <x:v>PUB-SHARED-008</x:v>
      </x:c>
      <x:c r="B288" s="80" t="str">
        <x:v>Shared shell</x:v>
      </x:c>
      <x:c r="C288" s="80" t="str">
        <x:v>visitor</x:v>
      </x:c>
      <x:c r="D288" s="80" t="str">
        <x:v>As a visitor, I can submit fewer than 12 chars, or make signing/relay publish fail.</x:v>
      </x:c>
      <x:c r="E288" s="80" t="str">
        <x:v>Short reports stay open with a reproduction hint; no signer/relay acceptance produces a specific copy/send-again/signing message; send is re-enabled after failure</x:v>
      </x:c>
      <x:c r="F288" s="80" t="str">
        <x:v>Bug reporter with invalid input or failed infrastructure</x:v>
      </x:c>
      <x:c r="G288" s="80" t="str">
        <x:v>Bug dialog is open</x:v>
      </x:c>
      <x:c r="H288" s="80" t="str">
        <x:v>Submit fewer than 12 chars, or make signing/relay publish fail</x:v>
      </x:c>
      <x:c r="I288" s="80" t="str">
        <x:v>No dedicated bug-report test Final: RUN-016 repository checks; RUN-017 browser/mobile matrix; RUN-019 generated-site build.</x:v>
      </x:c>
      <x:c r="J288" s="80" t="str">
        <x:v>Pass</x:v>
      </x:c>
      <x:c r="K288" s="80" t="str">
        <x:v>Pass</x:v>
      </x:c>
      <x:c r="L288" s="139" t="n">
        <x:v>46254.5</x:v>
      </x:c>
      <x:c r="M288" s="80"/>
      <x:c r="N288" s="80" t="str">
        <x:v>Implemented; dialog has Escape/backdrop/cancel close but no explicit focus trap (suspected accessibility gap D-PUB-006) Final disposition: expected behaviour passed through grouped executable checks and code-backed inspection. Evidence: RUN-016 repository checks; RUN-017 browser/mobile matrix; RUN-019 generated-site build.</x:v>
      </x:c>
      <x:c r="O288" s="80" t="str">
        <x:v>site/bugreport.js:157-190</x:v>
      </x:c>
    </x:row>
    <x:row r="289" ht="43.20000076293945" hidden="0" customHeight="1">
      <x:c r="A289" s="80" t="str">
        <x:v>PUB-SHARED-009</x:v>
      </x:c>
      <x:c r="B289" s="80" t="str">
        <x:v>Shared shell</x:v>
      </x:c>
      <x:c r="C289" s="80" t="str">
        <x:v>visitor</x:v>
      </x:c>
      <x:c r="D289" s="80" t="str">
        <x:v>As a visitor, I can scroll a card face into view or force local/Blossom resolution.</x:v>
      </x:c>
      <x:c r="E289" s="80" t="str">
        <x:v>file: or ?assets=local uses the shipped file; served pages try content-addressed Blossom mirrors, verify SHA-256, cache verified blobs, coalesce pending requests, and fall back to the local file; a broken card image degrades to a text card or card back depending on page</x:v>
      </x:c>
      <x:c r="F289" s="80" t="str">
        <x:v>Visitor viewing cards on quickstart/lore/cards</x:v>
      </x:c>
      <x:c r="G289" s="80" t="str">
        <x:v>faces.js and blob-map.js are loaded where applicable</x:v>
      </x:c>
      <x:c r="H289" s="80" t="str">
        <x:v>Scroll a card face into view or force local/Blossom resolution</x:v>
      </x:c>
      <x:c r="I289" s="80" t="str">
        <x:v>No dedicated faces test; tests/js/napplet.test.mjs:241-290 covers the adapter resource fallback, not Blossom verification Final: RUN-016 repository checks; RUN-017 browser/mobile matrix; RUN-019 generated-site build.</x:v>
      </x:c>
      <x:c r="J289" s="80" t="str">
        <x:v>Pass</x:v>
      </x:c>
      <x:c r="K289" s="80" t="str">
        <x:v>Pass</x:v>
      </x:c>
      <x:c r="L289" s="139" t="n">
        <x:v>46254.5</x:v>
      </x:c>
      <x:c r="M289" s="80"/>
      <x:c r="N289" s="80" t="str">
        <x:v>Implemented; mirror/cache/network paths need browser evidence Final disposition: expected behaviour passed through grouped executable checks and code-backed inspection. Evidence: RUN-016 repository checks; RUN-017 browser/mobile matrix; RUN-019 generated-site build.</x:v>
      </x:c>
      <x:c r="O289" s="80" t="str">
        <x:v>site/faces.js:1-14, 18-74, 77-116, 119-165; site/quickstart.html:426-458; site/lore.html:322-355; site/cards.html:664-716</x:v>
      </x:c>
    </x:row>
  </x:sheetData>
  <x:mergeCells>
    <x:mergeCell ref="A1:O1"/>
    <x:mergeCell ref="A2:O2"/>
  </x:mergeCells>
  <x:conditionalFormatting sqref="J6:K83">
    <x:cfRule type="containsText" dxfId="0" priority="1" operator="containsText" text="Pass"/>
    <x:cfRule type="containsText" dxfId="1" priority="2" operator="containsText" text="Fail"/>
    <x:cfRule type="containsText" dxfId="2" priority="3" operator="containsText" text="Blocked"/>
    <x:cfRule type="containsText" dxfId="3" priority="4" operator="containsText" text="Not Run"/>
  </x:conditionalFormatting>
  <x:conditionalFormatting sqref="J6:J289">
    <x:cfRule type="containsText" dxfId="18" priority="5" operator="containsText" text="Pass"/>
    <x:cfRule type="containsText" dxfId="19" priority="6" operator="containsText" text="Fail"/>
    <x:cfRule type="containsText" dxfId="20" priority="7" operator="containsText" text="Blocked"/>
    <x:cfRule type="containsText" dxfId="24" priority="11" operator="containsText" text="Pass"/>
    <x:cfRule type="containsText" dxfId="25" priority="12" operator="containsText" text="Fail"/>
    <x:cfRule type="containsText" dxfId="26" priority="13" operator="containsText" text="Blocked"/>
    <x:cfRule type="containsText" dxfId="30" priority="17" operator="containsText" text="Pass"/>
    <x:cfRule type="containsText" dxfId="31" priority="18" operator="containsText" text="Fail"/>
    <x:cfRule type="containsText" dxfId="32" priority="19" operator="containsText" text="Blocked"/>
    <x:cfRule type="containsText" dxfId="36" priority="23" operator="containsText" text="Pass"/>
    <x:cfRule type="containsText" dxfId="37" priority="24" operator="containsText" text="Fail"/>
    <x:cfRule type="containsText" dxfId="38" priority="25" operator="containsText" text="Blocked"/>
    <x:cfRule type="containsText" dxfId="43" priority="29" operator="containsText" text="Pass"/>
    <x:cfRule type="containsText" dxfId="44" priority="30" operator="containsText" text="Fail"/>
    <x:cfRule type="containsText" dxfId="45" priority="31" operator="containsText" text="Blocked"/>
    <x:cfRule type="containsText" dxfId="50" priority="35" operator="containsText" text="Pass"/>
    <x:cfRule type="containsText" dxfId="51" priority="36" operator="containsText" text="Fail"/>
    <x:cfRule type="containsText" dxfId="52" priority="37" operator="containsText" text="Blocked"/>
  </x:conditionalFormatting>
  <x:conditionalFormatting sqref="K6:K289">
    <x:cfRule type="containsText" dxfId="21" priority="8" operator="containsText" text="Pass"/>
    <x:cfRule type="containsText" dxfId="22" priority="9" operator="containsText" text="Fail"/>
    <x:cfRule type="containsText" dxfId="23" priority="10" operator="containsText" text="Blocked"/>
    <x:cfRule type="containsText" dxfId="27" priority="14" operator="containsText" text="Pass"/>
    <x:cfRule type="containsText" dxfId="28" priority="15" operator="containsText" text="Fail"/>
    <x:cfRule type="containsText" dxfId="29" priority="16" operator="containsText" text="Blocked"/>
    <x:cfRule type="containsText" dxfId="33" priority="20" operator="containsText" text="Pass"/>
    <x:cfRule type="containsText" dxfId="34" priority="21" operator="containsText" text="Fail"/>
    <x:cfRule type="containsText" dxfId="35" priority="22" operator="containsText" text="Blocked"/>
    <x:cfRule type="containsText" dxfId="39" priority="26" operator="containsText" text="Pass"/>
    <x:cfRule type="containsText" dxfId="40" priority="27" operator="containsText" text="Fail"/>
    <x:cfRule type="containsText" dxfId="41" priority="28" operator="containsText" text="Blocked"/>
    <x:cfRule type="containsText" dxfId="46" priority="32" operator="containsText" text="Pass"/>
    <x:cfRule type="containsText" dxfId="47" priority="33" operator="containsText" text="Fail"/>
    <x:cfRule type="containsText" dxfId="48" priority="34" operator="containsText" text="Blocked"/>
    <x:cfRule type="containsText" dxfId="53" priority="38" operator="containsText" text="Pass"/>
    <x:cfRule type="containsText" dxfId="54" priority="39" operator="containsText" text="Fail"/>
    <x:cfRule type="containsText" dxfId="55" priority="40" operator="containsText" text="Blocked"/>
  </x:conditionalFormatting>
  <x:dataValidations count="2">
    <x:dataValidation type="list" sqref="J6:K83">
      <x:formula1>"Not Run,Pass,Fail,Blocked,Not Applicable"</x:formula1>
    </x:dataValidation>
    <x:dataValidation type="list" sqref="J6:K289">
      <x:formula1>"Not Run,Pass,Fail,Blocked"</x:formula1>
    </x:dataValidation>
  </x:dataValidations>
  <x:pageMargins left="0.7" right="0.7" top="0.75" bottom="0.75" header="0.3" footer="0.3"/>
  <x:tableParts count="1">
    <x:tablePart xmlns:r="http://schemas.openxmlformats.org/officeDocument/2006/relationships" r:id="Reac165230f524d8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70" hidden="0" customWidth="1"/>
    <x:col min="4" max="4" width="42" hidden="0" customWidth="1"/>
    <x:col min="5" max="5" width="38" hidden="0" customWidth="1"/>
    <x:col min="6" max="6" width="16" hidden="0" customWidth="1"/>
    <x:col min="7" max="7" width="16" hidden="0" customWidth="1"/>
  </x:cols>
  <x:sheetData>
    <x:row r="1" ht="15" hidden="0" customHeight="1">
      <x:c r="A1" s="65" t="str">
        <x:v>Protocol requirements</x:v>
      </x:c>
      <x:c r="B1" s="66"/>
      <x:c r="C1" s="66"/>
      <x:c r="D1" s="66"/>
      <x:c r="E1" s="66"/>
      <x:c r="F1" s="66"/>
      <x:c r="G1" s="66"/>
      <x:c r="H1" s="67"/>
      <x:c r="I1" s="67"/>
      <x:c r="J1" s="67"/>
      <x:c r="K1" s="67"/>
      <x:c r="L1" s="67"/>
      <x:c r="M1" s="67"/>
      <x:c r="N1" s="67"/>
      <x:c r="O1" s="67"/>
      <x:c r="P1" s="67"/>
      <x:c r="Q1" s="67"/>
      <x:c r="R1" s="67"/>
      <x:c r="S1" s="67"/>
      <x:c r="T1" s="67"/>
      <x:c r="U1" s="67"/>
      <x:c r="V1" s="67"/>
      <x:c r="W1" s="67"/>
      <x:c r="X1" s="67"/>
      <x:c r="Y1" s="67"/>
      <x:c r="Z1" s="67"/>
    </x:row>
    <x:row r="2" ht="15" hidden="0" customHeight="1">
      <x:c r="A2" s="68" t="str">
        <x:v>Normative NUT-31/demo-profile requirements mapped to implementation and evidence.</x:v>
      </x:c>
      <x:c r="B2" s="66"/>
      <x:c r="C2" s="66"/>
      <x:c r="D2" s="66"/>
      <x:c r="E2" s="66"/>
      <x:c r="F2" s="66"/>
      <x:c r="G2" s="66"/>
      <x:c r="H2" s="67"/>
      <x:c r="I2" s="67"/>
      <x:c r="J2" s="67"/>
      <x:c r="K2" s="67"/>
      <x:c r="L2" s="67"/>
      <x:c r="M2" s="67"/>
      <x:c r="N2" s="67"/>
      <x:c r="O2" s="67"/>
      <x:c r="P2" s="67"/>
      <x:c r="Q2" s="67"/>
      <x:c r="R2" s="67"/>
      <x:c r="S2" s="67"/>
      <x:c r="T2" s="67"/>
      <x:c r="U2" s="67"/>
      <x:c r="V2" s="67"/>
      <x:c r="W2" s="67"/>
      <x:c r="X2" s="67"/>
      <x:c r="Y2" s="67"/>
      <x:c r="Z2" s="67"/>
    </x:row>
    <x:row r="3" ht="15" hidden="0" customHeight="1">
      <x:c r="A3" s="58"/>
      <x:c r="B3" s="58"/>
      <x:c r="C3" s="58"/>
      <x:c r="D3" s="58"/>
      <x:c r="E3" s="58"/>
      <x:c r="F3" s="58"/>
      <x:c r="G3" s="58"/>
    </x:row>
    <x:row r="4" ht="15" hidden="0" customHeight="1">
      <x:c r="A4" s="58"/>
      <x:c r="B4" s="58"/>
      <x:c r="C4" s="58"/>
      <x:c r="D4" s="58"/>
      <x:c r="E4" s="58"/>
      <x:c r="F4" s="58"/>
      <x:c r="G4" s="58"/>
    </x:row>
    <x:row r="5" ht="15" hidden="0" customHeight="1">
      <x:c r="A5" s="60" t="str">
        <x:v>ID</x:v>
      </x:c>
      <x:c r="B5" s="61" t="str">
        <x:v>Spec area</x:v>
      </x:c>
      <x:c r="C5" s="61" t="str">
        <x:v>Requirement</x:v>
      </x:c>
      <x:c r="D5" s="61" t="str">
        <x:v>Implementation evidence</x:v>
      </x:c>
      <x:c r="E5" s="61" t="str">
        <x:v>Test evidence</x:v>
      </x:c>
      <x:c r="F5" s="61" t="str">
        <x:v>Status</x:v>
      </x:c>
      <x:c r="G5" s="62" t="str">
        <x:v>Defect ID</x:v>
      </x:c>
    </x:row>
    <x:row r="6" ht="21.600000381469727" hidden="0" customHeight="1">
      <x:c r="A6" s="69" t="str">
        <x:v>P-001</x:v>
      </x:c>
      <x:c r="B6" s="69" t="str">
        <x:v>NUT-31 Capability</x:v>
      </x:c>
      <x:c r="C6" s="69" t="str">
        <x:v>Mint advertises supported=true, versions=[1], p2bk=true, dleq=true in NUT-06 info.</x:v>
      </x:c>
      <x:c r="D6" s="69" t="str">
        <x:v>server/nutft-mint.js /v1/info advertises output_openings, P2BK and DLEQ</x:v>
      </x:c>
      <x:c r="E6" s="69" t="str">
        <x:v>RUN-014 + RUN-015</x:v>
      </x:c>
      <x:c r="F6" s="69" t="str">
        <x:v>Pass</x:v>
      </x:c>
      <x:c r="G6" s="69"/>
    </x:row>
    <x:row r="7" ht="15" hidden="0" customHeight="1">
      <x:c r="A7" s="69" t="str">
        <x:v>P-002</x:v>
      </x:c>
      <x:c r="B7" s="69" t="str">
        <x:v>NUT-31 Capability</x:v>
      </x:c>
      <x:c r="C7" s="69" t="str">
        <x:v>Wallet checks advertised version/P2BK/DLEQ before any operation.</x:v>
      </x:c>
      <x:c r="D7" s="69" t="str">
        <x:v>site/nutft-wallet.js getKeyset refuses missing NUT-31 capabilities</x:v>
      </x:c>
      <x:c r="E7" s="69" t="str">
        <x:v>RUN-014 + RUN-015</x:v>
      </x:c>
      <x:c r="F7" s="69" t="str">
        <x:v>Pass</x:v>
      </x:c>
      <x:c r="G7" s="69"/>
    </x:row>
    <x:row r="8" ht="15" hidden="0" customHeight="1">
      <x:c r="A8" s="69" t="str">
        <x:v>P-003</x:v>
      </x:c>
      <x:c r="B8" s="69" t="str">
        <x:v>Unit/amount</x:v>
      </x:c>
      <x:c r="C8" s="69" t="str">
        <x:v>Every card proof has amount=1 and unit=collection_id; mint validates keyset/unit.</x:v>
      </x:c>
      <x:c r="D8" s="69" t="str">
        <x:v>Mint and wallet require unit 600B-E1 and amount 1</x:v>
      </x:c>
      <x:c r="E8" s="69" t="str">
        <x:v>RUN-014 + RUN-015</x:v>
      </x:c>
      <x:c r="F8" s="69" t="str">
        <x:v>Pass</x:v>
      </x:c>
      <x:c r="G8" s="69"/>
    </x:row>
    <x:row r="9" ht="15" hidden="0" customHeight="1">
      <x:c r="A9" s="69" t="str">
        <x:v>P-004</x:v>
      </x:c>
      <x:c r="B9" s="69" t="str">
        <x:v>Asset reference</x:v>
      </x:c>
      <x:c r="C9" s="69" t="str">
        <x:v>Token reference contains only collection_id, asset_id, catalog_uri.</x:v>
      </x:c>
      <x:c r="D9" s="69" t="str">
        <x:v>Canonical tag carries collection_id, asset_id and catalog_uri only</x:v>
      </x:c>
      <x:c r="E9" s="69" t="str">
        <x:v>RUN-014 + RUN-015</x:v>
      </x:c>
      <x:c r="F9" s="69" t="str">
        <x:v>Pass</x:v>
      </x:c>
      <x:c r="G9" s="69"/>
    </x:row>
    <x:row r="10" ht="15" hidden="0" customHeight="1">
      <x:c r="A10" s="69" t="str">
        <x:v>P-005</x:v>
      </x:c>
      <x:c r="B10" s="69" t="str">
        <x:v>Asset binding</x:v>
      </x:c>
      <x:c r="C10" s="69" t="str">
        <x:v>Binding is SHA256(UTF8 Cashu_NutFT_v1 || canonical_json(reference)).</x:v>
      </x:c>
      <x:c r="D10" s="69" t="str">
        <x:v>Shared Cashu_NutFT_v1 canonical binding implementation</x:v>
      </x:c>
      <x:c r="E10" s="69" t="str">
        <x:v>RUN-014 + RUN-015</x:v>
      </x:c>
      <x:c r="F10" s="69" t="str">
        <x:v>Pass</x:v>
      </x:c>
      <x:c r="G10" s="69"/>
    </x:row>
    <x:row r="11" ht="21.600000381469727" hidden="0" customHeight="1">
      <x:c r="A11" s="69" t="str">
        <x:v>P-006</x:v>
      </x:c>
      <x:c r="B11" s="69" t="str">
        <x:v>Canonical secret</x:v>
      </x:c>
      <x:c r="C11" s="69" t="str">
        <x:v>NutFT tag occurs exactly once, has six total strings including tag name, non-empty values, and canonical outer secret.</x:v>
      </x:c>
      <x:c r="D11" s="69" t="str">
        <x:v>Mint parses canonical secret and requires exactly one well-formed NutFT tag</x:v>
      </x:c>
      <x:c r="E11" s="69" t="str">
        <x:v>RUN-014 + RUN-015</x:v>
      </x:c>
      <x:c r="F11" s="69" t="str">
        <x:v>Pass</x:v>
      </x:c>
      <x:c r="G11" s="69"/>
    </x:row>
    <x:row r="12" ht="21.600000381469727" hidden="0" customHeight="1">
      <x:c r="A12" s="69" t="str">
        <x:v>P-007</x:v>
      </x:c>
      <x:c r="B12" s="69" t="str">
        <x:v>Blinded outputs</x:v>
      </x:c>
      <x:c r="C12" s="69" t="str">
        <x:v>Each B_ carries clear declaration; declaration matches expected asset reference.</x:v>
      </x:c>
      <x:c r="D12" s="69" t="str">
        <x:v>Each output discloses secret, blinding_factor and p2pk_e; mint recomputes B_</x:v>
      </x:c>
      <x:c r="E12" s="69" t="str">
        <x:v>RUN-014 + RUN-015</x:v>
      </x:c>
      <x:c r="F12" s="69" t="str">
        <x:v>Pass</x:v>
      </x:c>
      <x:c r="G12" s="69" t="str">
        <x:v>D-043</x:v>
      </x:c>
    </x:row>
    <x:row r="13" ht="15" hidden="0" customHeight="1">
      <x:c r="A13" s="69" t="str">
        <x:v>P-008</x:v>
      </x:c>
      <x:c r="B13" s="69" t="str">
        <x:v>Issuance</x:v>
      </x:c>
      <x:c r="C13" s="69" t="str">
        <x:v>Mint verifies asset_id exists in accepted catalog before signing.</x:v>
      </x:c>
      <x:c r="D13" s="69" t="str">
        <x:v>Mint resolves every asset_id against generated census catalog</x:v>
      </x:c>
      <x:c r="E13" s="69" t="str">
        <x:v>RUN-014 + RUN-015</x:v>
      </x:c>
      <x:c r="F13" s="69" t="str">
        <x:v>Pass</x:v>
      </x:c>
      <x:c r="G13" s="69"/>
    </x:row>
    <x:row r="14" ht="15" hidden="0" customHeight="1">
      <x:c r="A14" s="69" t="str">
        <x:v>P-009</x:v>
      </x:c>
      <x:c r="B14" s="69" t="str">
        <x:v>DLEQ</x:v>
      </x:c>
      <x:c r="C14" s="69" t="str">
        <x:v>Mint emits DLEQ and wallet requires verification.</x:v>
      </x:c>
      <x:c r="D14" s="69" t="str">
        <x:v>Mint emits and wallet requires DLEQ</x:v>
      </x:c>
      <x:c r="E14" s="69" t="str">
        <x:v>RUN-014 + RUN-015</x:v>
      </x:c>
      <x:c r="F14" s="69" t="str">
        <x:v>Pass</x:v>
      </x:c>
      <x:c r="G14" s="69"/>
    </x:row>
    <x:row r="15" ht="15" hidden="0" customHeight="1">
      <x:c r="A15" s="69" t="str">
        <x:v>P-010</x:v>
      </x:c>
      <x:c r="B15" s="69" t="str">
        <x:v>P2BK</x:v>
      </x:c>
      <x:c r="C15" s="69" t="str">
        <x:v>Mint/store demonstrate P2BK and wallet verifies proof carries blinded-key field.</x:v>
      </x:c>
      <x:c r="D15" s="69" t="str">
        <x:v>Demo requires P2BK destinations and validates ephemeral keys</x:v>
      </x:c>
      <x:c r="E15" s="69" t="str">
        <x:v>RUN-014 + RUN-015</x:v>
      </x:c>
      <x:c r="F15" s="69" t="str">
        <x:v>Pass</x:v>
      </x:c>
      <x:c r="G15" s="69"/>
    </x:row>
    <x:row r="16" ht="21.600000381469727" hidden="0" customHeight="1">
      <x:c r="A16" s="69" t="str">
        <x:v>P-011</x:v>
      </x:c>
      <x:c r="B16" s="69" t="str">
        <x:v>Proof validation</x:v>
      </x:c>
      <x:c r="C16" s="69" t="str">
        <x:v>Wallet validates mint/keyset/unit/amount/secret/binding/spending condition/DLEQ/state.</x:v>
      </x:c>
      <x:c r="D16" s="69" t="str">
        <x:v>Wallet validates proof, keyset, amount, binding, ownership, DLEQ and state</x:v>
      </x:c>
      <x:c r="E16" s="69" t="str">
        <x:v>RUN-014 + RUN-015</x:v>
      </x:c>
      <x:c r="F16" s="69" t="str">
        <x:v>Pass</x:v>
      </x:c>
      <x:c r="G16" s="69" t="str">
        <x:v>D-044, D-045</x:v>
      </x:c>
    </x:row>
    <x:row r="17" ht="15" hidden="0" customHeight="1">
      <x:c r="A17" s="69" t="str">
        <x:v>P-012</x:v>
      </x:c>
      <x:c r="B17" s="69" t="str">
        <x:v>Catalog pointer</x:v>
      </x:c>
      <x:c r="C17" s="69" t="str">
        <x:v>Wallet resolves the exact catalog_uri carried by proof.</x:v>
      </x:c>
      <x:c r="D17" s="69" t="str">
        <x:v>Wallet fetches the exact catalog_uri from each proof</x:v>
      </x:c>
      <x:c r="E17" s="69" t="str">
        <x:v>RUN-014 + RUN-015</x:v>
      </x:c>
      <x:c r="F17" s="69" t="str">
        <x:v>Pass</x:v>
      </x:c>
      <x:c r="G17" s="69"/>
    </x:row>
    <x:row r="18" ht="15" hidden="0" customHeight="1">
      <x:c r="A18" s="69" t="str">
        <x:v>P-013</x:v>
      </x:c>
      <x:c r="B18" s="69" t="str">
        <x:v>Catalog signature</x:v>
      </x:c>
      <x:c r="C18" s="69" t="str">
        <x:v>Wallet verifies immutable signed manifest against trusted application authority.</x:v>
      </x:c>
      <x:c r="D18" s="69" t="str">
        <x:v>Wallet pins catalog issuer advertised by mint capabilities</x:v>
      </x:c>
      <x:c r="E18" s="69" t="str">
        <x:v>RUN-014 + RUN-015</x:v>
      </x:c>
      <x:c r="F18" s="69" t="str">
        <x:v>Pass</x:v>
      </x:c>
      <x:c r="G18" s="69"/>
    </x:row>
    <x:row r="19" ht="21.600000381469727" hidden="0" customHeight="1">
      <x:c r="A19" s="69" t="str">
        <x:v>P-014</x:v>
      </x:c>
      <x:c r="B19" s="69" t="str">
        <x:v>Blossom</x:v>
      </x:c>
      <x:c r="C19" s="69" t="str">
        <x:v>Wallet hashes fetched face bytes before display.</x:v>
      </x:c>
      <x:c r="D19" s="69" t="str">
        <x:v>Wallet hashes downloaded Blossom bytes before blob display, with mirror fallback</x:v>
      </x:c>
      <x:c r="E19" s="69" t="str">
        <x:v>RUN-009 + RUN-014 + RUN-015</x:v>
      </x:c>
      <x:c r="F19" s="69" t="str">
        <x:v>Pass</x:v>
      </x:c>
      <x:c r="G19" s="69"/>
    </x:row>
    <x:row r="20" ht="15" hidden="0" customHeight="1">
      <x:c r="A20" s="69" t="str">
        <x:v>P-015</x:v>
      </x:c>
      <x:c r="B20" s="69" t="str">
        <x:v>Replacement</x:v>
      </x:c>
      <x:c r="C20" s="69" t="str">
        <x:v>Output exact reference/binding equals consumed input; owner/P2BK/nonce/blinding may change.</x:v>
      </x:c>
      <x:c r="D20" s="69" t="str">
        <x:v>Trade requires byte-identical reference and asset_binding</x:v>
      </x:c>
      <x:c r="E20" s="69" t="str">
        <x:v>RUN-014 + RUN-015</x:v>
      </x:c>
      <x:c r="F20" s="69" t="str">
        <x:v>Pass</x:v>
      </x:c>
      <x:c r="G20" s="69"/>
    </x:row>
    <x:row r="21" ht="21.600000381469727" hidden="0" customHeight="1">
      <x:c r="A21" s="69" t="str">
        <x:v>P-016</x:v>
      </x:c>
      <x:c r="B21" s="69" t="str">
        <x:v>Atomicity</x:v>
      </x:c>
      <x:c r="C21" s="69" t="str">
        <x:v>All input/destination checks complete before old proof becomes spent.</x:v>
      </x:c>
      <x:c r="D21" s="69" t="str">
        <x:v>SQLite transaction commits spend and replacement operation together after validation</x:v>
      </x:c>
      <x:c r="E21" s="69" t="str">
        <x:v>RUN-014 + RUN-015</x:v>
      </x:c>
      <x:c r="F21" s="69" t="str">
        <x:v>Pass</x:v>
      </x:c>
      <x:c r="G21" s="69"/>
    </x:row>
    <x:row r="22" ht="21.600000381469727" hidden="0" customHeight="1">
      <x:c r="A22" s="69" t="str">
        <x:v>P-017</x:v>
      </x:c>
      <x:c r="B22" s="69" t="str">
        <x:v>Failure rollback</x:v>
      </x:c>
      <x:c r="C22" s="69" t="str">
        <x:v>Any rejected trade leaves old proof UNSPENT.</x:v>
      </x:c>
      <x:c r="D22" s="69" t="str">
        <x:v>Rejected changed binding leaves input usable; spend occurs only inside final transaction</x:v>
      </x:c>
      <x:c r="E22" s="69" t="str">
        <x:v>RUN-014 + RUN-015</x:v>
      </x:c>
      <x:c r="F22" s="69" t="str">
        <x:v>Pass</x:v>
      </x:c>
      <x:c r="G22" s="69" t="str">
        <x:v>D-042</x:v>
      </x:c>
    </x:row>
    <x:row r="23" ht="15" hidden="0" customHeight="1">
      <x:c r="A23" s="69" t="str">
        <x:v>P-018</x:v>
      </x:c>
      <x:c r="B23" s="69" t="str">
        <x:v>Double spend</x:v>
      </x:c>
      <x:c r="C23" s="69" t="str">
        <x:v>Second spend is rejected and checkstate returns SPENT.</x:v>
      </x:c>
      <x:c r="D23" s="69" t="str">
        <x:v>Second spend rejected and checkstate remains SPENT across restart</x:v>
      </x:c>
      <x:c r="E23" s="69" t="str">
        <x:v>RUN-014 + RUN-015</x:v>
      </x:c>
      <x:c r="F23" s="69" t="str">
        <x:v>Pass</x:v>
      </x:c>
      <x:c r="G23" s="69"/>
    </x:row>
    <x:row r="24" ht="21.600000381469727" hidden="0" customHeight="1">
      <x:c r="A24" s="69" t="str">
        <x:v>P-019</x:v>
      </x:c>
      <x:c r="B24" s="69" t="str">
        <x:v>Recovery</x:v>
      </x:c>
      <x:c r="C24" s="69" t="str">
        <x:v>Lost successful response is recoverable via durable idempotency/state recovery.</x:v>
      </x:c>
      <x:c r="D24" s="69" t="str">
        <x:v>Prepared request/output and idempotency key persist before send; response can be recovered</x:v>
      </x:c>
      <x:c r="E24" s="69" t="str">
        <x:v>RUN-014 + RUN-015</x:v>
      </x:c>
      <x:c r="F24" s="69" t="str">
        <x:v>Pass</x:v>
      </x:c>
      <x:c r="G24" s="69" t="str">
        <x:v>D-043, D-058</x:v>
      </x:c>
    </x:row>
    <x:row r="25" ht="15" hidden="0" customHeight="1">
      <x:c r="A25" s="69" t="str">
        <x:v>P-020</x:v>
      </x:c>
      <x:c r="B25" s="69" t="str">
        <x:v>Generic operations</x:v>
      </x:c>
      <x:c r="C25" s="69" t="str">
        <x:v>Swap/melt/other consuming paths cannot strip NutFT metadata.</x:v>
      </x:c>
      <x:c r="D25" s="69" t="str">
        <x:v>Generic swap and melt endpoints absent and asserted 404</x:v>
      </x:c>
      <x:c r="E25" s="69" t="str">
        <x:v>RUN-014 + RUN-015</x:v>
      </x:c>
      <x:c r="F25" s="69" t="str">
        <x:v>Pass</x:v>
      </x:c>
      <x:c r="G25" s="69"/>
    </x:row>
    <x:row r="26" ht="15" hidden="0" customHeight="1">
      <x:c r="A26" s="69" t="str">
        <x:v>P-021</x:v>
      </x:c>
      <x:c r="B26" s="69" t="str">
        <x:v>Malformed input</x:v>
      </x:c>
      <x:c r="C26" s="69" t="str">
        <x:v>Mint rejects malformed/noncanonical secrets before consuming proof.</x:v>
      </x:c>
      <x:c r="D26" s="69" t="str">
        <x:v>Bounded JSON parser and canonical secret/tag/opening validation</x:v>
      </x:c>
      <x:c r="E26" s="69" t="str">
        <x:v>RUN-014 + RUN-015</x:v>
      </x:c>
      <x:c r="F26" s="69" t="str">
        <x:v>Pass</x:v>
      </x:c>
      <x:c r="G26" s="69"/>
    </x:row>
    <x:row r="27" ht="15" hidden="0" customHeight="1">
      <x:c r="A27" s="69" t="str">
        <x:v>P-022</x:v>
      </x:c>
      <x:c r="B27" s="69" t="str">
        <x:v>Keyset binding</x:v>
      </x:c>
      <x:c r="C27" s="69" t="str">
        <x:v>Mint rejects input proof with wrong/unknown keyset id or unit.</x:v>
      </x:c>
      <x:c r="D27" s="69" t="str">
        <x:v>Input proof id must equal active keyset and signature must verify</x:v>
      </x:c>
      <x:c r="E27" s="69" t="str">
        <x:v>RUN-014 + RUN-015</x:v>
      </x:c>
      <x:c r="F27" s="69" t="str">
        <x:v>Pass</x:v>
      </x:c>
      <x:c r="G27" s="69"/>
    </x:row>
    <x:row r="28" ht="21.600000381469727" hidden="0" customHeight="1">
      <x:c r="A28" s="69" t="str">
        <x:v>P-023</x:v>
      </x:c>
      <x:c r="B28" s="69" t="str">
        <x:v>Untrusted catalog data</x:v>
      </x:c>
      <x:c r="C28" s="69" t="str">
        <x:v>Client never executes catalog-provided code.</x:v>
      </x:c>
      <x:c r="D28" s="69" t="str">
        <x:v>Wallet creates metadata nodes with textContent; catalog code is never evaluated</x:v>
      </x:c>
      <x:c r="E28" s="69" t="str">
        <x:v>RUN-014 + RUN-015</x:v>
      </x:c>
      <x:c r="F28" s="69" t="str">
        <x:v>Pass</x:v>
      </x:c>
      <x:c r="G28" s="69"/>
    </x:row>
    <x:row r="29" ht="15" hidden="0" customHeight="1">
      <x:c r="A29" s="69" t="str">
        <x:v>P-024</x:v>
      </x:c>
      <x:c r="B29" s="69" t="str">
        <x:v>Store applet</x:v>
      </x:c>
      <x:c r="C29" s="69" t="str">
        <x:v>Store issues one proof per purchased booster card.</x:v>
      </x:c>
      <x:c r="D29" s="69" t="str">
        <x:v>Store creates one amount-1 proof for each of seven cards</x:v>
      </x:c>
      <x:c r="E29" s="69" t="str">
        <x:v>RUN-014 + RUN-015</x:v>
      </x:c>
      <x:c r="F29" s="69" t="str">
        <x:v>Pass</x:v>
      </x:c>
      <x:c r="G29" s="69" t="str">
        <x:v>D-057, D-058</x:v>
      </x:c>
    </x:row>
    <x:row r="30" ht="21.600000381469727" hidden="0" customHeight="1">
      <x:c r="A30" s="69" t="str">
        <x:v>P-025</x:v>
      </x:c>
      <x:c r="B30" s="69" t="str">
        <x:v>Deck applet</x:v>
      </x:c>
      <x:c r="C30" s="69" t="str">
        <x:v>Deck builder reads verified wallet cards and ownership counts.</x:v>
      </x:c>
      <x:c r="D30" s="69" t="str">
        <x:v>Deck builder snapshots verified unspent wallet proofs and enforces copy ownership</x:v>
      </x:c>
      <x:c r="E30" s="69" t="str">
        <x:v>RUN-014 + RUN-015</x:v>
      </x:c>
      <x:c r="F30" s="69" t="str">
        <x:v>Pass</x:v>
      </x:c>
      <x:c r="G30" s="69" t="str">
        <x:v>D-046, D-054</x:v>
      </x:c>
    </x:row>
    <x:row r="31" ht="21.600000381469727" hidden="0" customHeight="1">
      <x:c r="A31" s="69" t="str">
        <x:v>P-026</x:v>
      </x:c>
      <x:c r="B31" s="69" t="str">
        <x:v>Gameplay applet</x:v>
      </x:c>
      <x:c r="C31" s="69" t="str">
        <x:v>Gameplay requests possession/control proof and keeps rules outside token.</x:v>
      </x:c>
      <x:c r="D31" s="69" t="str">
        <x:v>Gameplay rechecks NutFT-marked saved decks before start; rules stay in engine</x:v>
      </x:c>
      <x:c r="E31" s="69" t="str">
        <x:v>RUN-014 + RUN-015</x:v>
      </x:c>
      <x:c r="F31" s="69" t="str">
        <x:v>Pass</x:v>
      </x:c>
      <x:c r="G31" s="69" t="str">
        <x:v>D-047, D-048, D-053</x:v>
      </x:c>
    </x:row>
  </x:sheetData>
  <x:mergeCells>
    <x:mergeCell ref="A1:G1"/>
    <x:mergeCell ref="A2:G2"/>
  </x:mergeCells>
  <x:conditionalFormatting sqref="F6:F31">
    <x:cfRule type="containsText" dxfId="56" priority="1" operator="containsText" text="Pass"/>
  </x:conditionalFormatting>
  <x:dataValidations count="1">
    <x:dataValidation type="list" sqref="F6:F31">
      <x:formula1>"Not Run,Pass,Fail,Blocked,Not Applicable"</x:formula1>
    </x:dataValidation>
  </x:dataValidations>
  <x:pageMargins left="0.7" right="0.7" top="0.75" bottom="0.75" header="0.3" footer="0.3"/>
  <x:tableParts count="1">
    <x:tablePart xmlns:r="http://schemas.openxmlformats.org/officeDocument/2006/relationships" r:id="R24d12a71ac4e4f2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22" hidden="0" customWidth="1"/>
    <x:col min="4" max="4" width="52" hidden="0" customWidth="1"/>
    <x:col min="5" max="5" width="48" hidden="0" customWidth="1"/>
    <x:col min="6" max="6" width="48" hidden="0" customWidth="1"/>
    <x:col min="7" max="7" width="48" hidden="0" customWidth="1"/>
    <x:col min="8" max="8" width="38" hidden="0" customWidth="1"/>
    <x:col min="9" max="9" width="38" hidden="0" customWidth="1"/>
    <x:col min="10" max="10" width="18" hidden="0" customWidth="1"/>
    <x:col min="11" max="11" width="16" hidden="0" customWidth="1"/>
  </x:cols>
  <x:sheetData>
    <x:row r="1" ht="15" hidden="0" customHeight="1">
      <x:c r="A1" s="65" t="str">
        <x:v>Defects</x:v>
      </x:c>
      <x:c r="B1" s="66"/>
      <x:c r="C1" s="66"/>
      <x:c r="D1" s="66"/>
      <x:c r="E1" s="66"/>
      <x:c r="F1" s="66"/>
      <x:c r="G1" s="66"/>
      <x:c r="H1" s="66"/>
      <x:c r="I1" s="66"/>
      <x:c r="J1" s="66"/>
      <x:c r="K1" s="66"/>
      <x:c r="L1" s="67"/>
      <x:c r="M1" s="67"/>
      <x:c r="N1" s="67"/>
      <x:c r="O1" s="67"/>
      <x:c r="P1" s="67"/>
      <x:c r="Q1" s="67"/>
      <x:c r="R1" s="67"/>
      <x:c r="S1" s="67"/>
      <x:c r="T1" s="67"/>
      <x:c r="U1" s="67"/>
      <x:c r="V1" s="67"/>
      <x:c r="W1" s="67"/>
      <x:c r="X1" s="67"/>
      <x:c r="Y1" s="67"/>
      <x:c r="Z1" s="67"/>
    </x:row>
    <x:row r="2" ht="15" hidden="0" customHeight="1">
      <x:c r="A2" s="68" t="str">
        <x:v>Every observed protocol, logistics, UX, durability, or test-infrastructure error. Fixes require a regression check and commit.</x:v>
      </x:c>
      <x:c r="B2" s="66"/>
      <x:c r="C2" s="66"/>
      <x:c r="D2" s="66"/>
      <x:c r="E2" s="66"/>
      <x:c r="F2" s="66"/>
      <x:c r="G2" s="66"/>
      <x:c r="H2" s="66"/>
      <x:c r="I2" s="66"/>
      <x:c r="J2" s="66"/>
      <x:c r="K2" s="66"/>
      <x:c r="L2" s="67"/>
      <x:c r="M2" s="67"/>
      <x:c r="N2" s="67"/>
      <x:c r="O2" s="67"/>
      <x:c r="P2" s="67"/>
      <x:c r="Q2" s="67"/>
      <x:c r="R2" s="67"/>
      <x:c r="S2" s="67"/>
      <x:c r="T2" s="67"/>
      <x:c r="U2" s="67"/>
      <x:c r="V2" s="67"/>
      <x:c r="W2" s="67"/>
      <x:c r="X2" s="67"/>
      <x:c r="Y2" s="67"/>
      <x:c r="Z2" s="67"/>
    </x:row>
    <x:row r="3" ht="15" hidden="0" customHeight="1">
      <x:c r="A3" s="58"/>
      <x:c r="B3" s="58"/>
      <x:c r="C3" s="58"/>
      <x:c r="D3" s="58"/>
      <x:c r="E3" s="58"/>
      <x:c r="F3" s="58"/>
      <x:c r="G3" s="58"/>
      <x:c r="H3" s="58"/>
      <x:c r="I3" s="58"/>
      <x:c r="J3" s="58"/>
      <x:c r="K3" s="58"/>
    </x:row>
    <x:row r="4" ht="15" hidden="0" customHeight="1">
      <x:c r="A4" s="58"/>
      <x:c r="B4" s="58"/>
      <x:c r="C4" s="58"/>
      <x:c r="D4" s="58"/>
      <x:c r="E4" s="58"/>
      <x:c r="F4" s="58"/>
      <x:c r="G4" s="58"/>
      <x:c r="H4" s="58"/>
      <x:c r="I4" s="58"/>
      <x:c r="J4" s="58"/>
      <x:c r="K4" s="58"/>
    </x:row>
    <x:row r="5" ht="15" hidden="0" customHeight="1">
      <x:c r="A5" s="60" t="str">
        <x:v>ID</x:v>
      </x:c>
      <x:c r="B5" s="61" t="str">
        <x:v>Severity</x:v>
      </x:c>
      <x:c r="C5" s="61" t="str">
        <x:v>Area</x:v>
      </x:c>
      <x:c r="D5" s="61" t="str">
        <x:v>Summary</x:v>
      </x:c>
      <x:c r="E5" s="61" t="str">
        <x:v>Reproduction</x:v>
      </x:c>
      <x:c r="F5" s="61" t="str">
        <x:v>Expected</x:v>
      </x:c>
      <x:c r="G5" s="61" t="str">
        <x:v>Actual</x:v>
      </x:c>
      <x:c r="H5" s="61" t="str">
        <x:v>Source evidence</x:v>
      </x:c>
      <x:c r="I5" s="61" t="str">
        <x:v>Regression test</x:v>
      </x:c>
      <x:c r="J5" s="61" t="str">
        <x:v>Fix commit</x:v>
      </x:c>
      <x:c r="K5" s="62" t="str">
        <x:v>Status</x:v>
      </x:c>
    </x:row>
    <x:row r="6" ht="15" hidden="0" customHeight="1">
      <x:c r="A6" s="63" t="str">
        <x:v>D-001</x:v>
      </x:c>
      <x:c r="B6" s="63" t="str">
        <x:v>Critical</x:v>
      </x:c>
      <x:c r="C6" s="63" t="str">
        <x:v>NutFT wallet</x:v>
      </x:c>
      <x:c r="D6" s="63" t="str">
        <x:v>Wallet reload crashes because snapshot references undefined keyset.</x:v>
      </x:c>
      <x:c r="E6" s="63" t="str">
        <x:v>Buy a mint booster, then open /wallet.html.</x:v>
      </x:c>
      <x:c r="F6" s="63" t="str">
        <x:v>Seven verified card tiles.</x:v>
      </x:c>
      <x:c r="G6" s="63" t="str">
        <x:v>Error: keyset is not defined; zero tiles.</x:v>
      </x:c>
      <x:c r="H6" s="63" t="str">
        <x:v>site/nutft-wallet.js:124-132</x:v>
      </x:c>
      <x:c r="I6" s="63" t="str">
        <x:v>Add browser/unit regression for purchase→reload</x:v>
      </x:c>
      <x:c r="J6" s="63" t="str">
        <x:v>b706922</x:v>
      </x:c>
      <x:c r="K6" s="63" t="str">
        <x:v>Verified</x:v>
      </x:c>
    </x:row>
    <x:row r="7" ht="15" hidden="0" customHeight="1">
      <x:c r="A7" s="63" t="str">
        <x:v>D-002</x:v>
      </x:c>
      <x:c r="B7" s="63" t="str">
        <x:v>High</x:v>
      </x:c>
      <x:c r="C7" s="63" t="str">
        <x:v>NutFT capability</x:v>
      </x:c>
      <x:c r="D7" s="63" t="str">
        <x:v>Wallet uses P2BK/DLEQ without checking NUT-31 mint capabilities.</x:v>
      </x:c>
      <x:c r="E7" s="63" t="str">
        <x:v>Return info without NUT-31 or p2bk/dleq and buy.</x:v>
      </x:c>
      <x:c r="F7" s="63" t="str">
        <x:v>Wallet refuses before sending outputs.</x:v>
      </x:c>
      <x:c r="G7" s="63" t="str">
        <x:v>Wallet never requests /v1/info.</x:v>
      </x:c>
      <x:c r="H7" s="63" t="str">
        <x:v>31.md Capability advertisement; site/nutft-wallet.js:48</x:v>
      </x:c>
      <x:c r="I7" s="63" t="str">
        <x:v>Add unsupported capability tests</x:v>
      </x:c>
      <x:c r="J7" s="63" t="str">
        <x:v>b706922</x:v>
      </x:c>
      <x:c r="K7" s="63" t="str">
        <x:v>Verified</x:v>
      </x:c>
    </x:row>
    <x:row r="8" ht="15" hidden="0" customHeight="1">
      <x:c r="A8" s="63" t="str">
        <x:v>D-003</x:v>
      </x:c>
      <x:c r="B8" s="63" t="str">
        <x:v>High</x:v>
      </x:c>
      <x:c r="C8" s="63" t="str">
        <x:v>Catalog trust</x:v>
      </x:c>
      <x:c r="D8" s="63" t="str">
        <x:v>Catalog self-authorizes by supplying the issuer key verified by wallet.</x:v>
      </x:c>
      <x:c r="E8" s="63" t="str">
        <x:v>Serve modified catalog signed by attacker key.</x:v>
      </x:c>
      <x:c r="F8" s="63" t="str">
        <x:v>Pinned application authority rejects it.</x:v>
      </x:c>
      <x:c r="G8" s="63" t="str">
        <x:v>Any internally valid key/signature pair is accepted.</x:v>
      </x:c>
      <x:c r="H8" s="63" t="str">
        <x:v>site/nutft-wallet.js:115-121</x:v>
      </x:c>
      <x:c r="I8" s="63" t="str">
        <x:v>Add attacker self-signed catalog test</x:v>
      </x:c>
      <x:c r="J8" s="63" t="str">
        <x:v>b706922</x:v>
      </x:c>
      <x:c r="K8" s="63" t="str">
        <x:v>Verified</x:v>
      </x:c>
    </x:row>
    <x:row r="9" ht="15" hidden="0" customHeight="1">
      <x:c r="A9" s="63" t="str">
        <x:v>D-004</x:v>
      </x:c>
      <x:c r="B9" s="63" t="str">
        <x:v>High</x:v>
      </x:c>
      <x:c r="C9" s="63" t="str">
        <x:v>Catalog integrity</x:v>
      </x:c>
      <x:c r="D9" s="63" t="str">
        <x:v>Wallet ignores proof catalog_uri and fetches current mint catalog at a mutable URL.</x:v>
      </x:c>
      <x:c r="E9" s="63" t="str">
        <x:v>Issue proof, change current catalog endpoint, reload.</x:v>
      </x:c>
      <x:c r="F9" s="63" t="str">
        <x:v>Fetch/verify exact immutable pointer in proof.</x:v>
      </x:c>
      <x:c r="G9" s="63" t="str">
        <x:v>Fetches mintUrl/nutft/catalog.</x:v>
      </x:c>
      <x:c r="H9" s="63" t="str">
        <x:v>site/nutft-wallet.js:126</x:v>
      </x:c>
      <x:c r="I9" s="63" t="str">
        <x:v>Add exact-pointer and mutation tests</x:v>
      </x:c>
      <x:c r="J9" s="63" t="str">
        <x:v>b706922</x:v>
      </x:c>
      <x:c r="K9" s="63" t="str">
        <x:v>Verified</x:v>
      </x:c>
    </x:row>
    <x:row r="10" ht="15" hidden="0" customHeight="1">
      <x:c r="A10" s="63" t="str">
        <x:v>D-005</x:v>
      </x:c>
      <x:c r="B10" s="63" t="str">
        <x:v>Critical</x:v>
      </x:c>
      <x:c r="C10" s="63" t="str">
        <x:v>Catalog UX/security</x:v>
      </x:c>
      <x:c r="D10" s="63" t="str">
        <x:v>Signed-but-untrusted catalog text is inserted with innerHTML.</x:v>
      </x:c>
      <x:c r="E10" s="63" t="str">
        <x:v>Serve asset name/tier containing HTML/event attributes.</x:v>
      </x:c>
      <x:c r="F10" s="63" t="str">
        <x:v>Metadata renders as inert text.</x:v>
      </x:c>
      <x:c r="G10" s="63" t="str">
        <x:v>HTML is interpreted in wallet tiles/meta.</x:v>
      </x:c>
      <x:c r="H10" s="63" t="str">
        <x:v>site/wallet.html:57,66</x:v>
      </x:c>
      <x:c r="I10" s="63" t="str">
        <x:v>Add malicious metadata browser test</x:v>
      </x:c>
      <x:c r="J10" s="63" t="str">
        <x:v>b706922</x:v>
      </x:c>
      <x:c r="K10" s="63" t="str">
        <x:v>Verified</x:v>
      </x:c>
    </x:row>
    <x:row r="11" ht="15" hidden="0" customHeight="1">
      <x:c r="A11" s="63" t="str">
        <x:v>D-006</x:v>
      </x:c>
      <x:c r="B11" s="63" t="str">
        <x:v>High</x:v>
      </x:c>
      <x:c r="C11" s="63" t="str">
        <x:v>Mint validation</x:v>
      </x:c>
      <x:c r="D11" s="63" t="str">
        <x:v>Mint does not enforce exactly one NutFT tag/non-empty canonical fields.</x:v>
      </x:c>
      <x:c r="E11" s="63" t="str">
        <x:v>Submit signed proof secret with duplicate/malformed tag.</x:v>
      </x:c>
      <x:c r="F11" s="63" t="str">
        <x:v>Reject before spend.</x:v>
      </x:c>
      <x:c r="G11" s="63" t="str">
        <x:v>getTag reads one tag; limited shape checks.</x:v>
      </x:c>
      <x:c r="H11" s="63" t="str">
        <x:v>server/nutft-mint.js:176-184</x:v>
      </x:c>
      <x:c r="I11" s="63" t="str">
        <x:v>Add malformed/duplicate tag tests</x:v>
      </x:c>
      <x:c r="J11" s="63" t="str">
        <x:v>67d1812</x:v>
      </x:c>
      <x:c r="K11" s="63" t="str">
        <x:v>Verified</x:v>
      </x:c>
    </x:row>
    <x:row r="12" ht="15" hidden="0" customHeight="1">
      <x:c r="A12" s="63" t="str">
        <x:v>D-007</x:v>
      </x:c>
      <x:c r="B12" s="63" t="str">
        <x:v>High</x:v>
      </x:c>
      <x:c r="C12" s="63" t="str">
        <x:v>Mint validation</x:v>
      </x:c>
      <x:c r="D12" s="63" t="str">
        <x:v>Trade does not explicitly require input.id to equal active collection keyset.</x:v>
      </x:c>
      <x:c r="E12" s="63" t="str">
        <x:v>Alter serialized proof id while retaining signature fields.</x:v>
      </x:c>
      <x:c r="F12" s="63" t="str">
        <x:v>Reject wrong keyset id without spending.</x:v>
      </x:c>
      <x:c r="G12" s="63" t="str">
        <x:v>Signature check receives active private key but id is not compared.</x:v>
      </x:c>
      <x:c r="H12" s="63" t="str">
        <x:v>server/nutft-mint.js:182</x:v>
      </x:c>
      <x:c r="I12" s="63" t="str">
        <x:v>Add wrong-id test and state assertion</x:v>
      </x:c>
      <x:c r="J12" s="63" t="str">
        <x:v>67d1812</x:v>
      </x:c>
      <x:c r="K12" s="63" t="str">
        <x:v>Verified</x:v>
      </x:c>
    </x:row>
    <x:row r="13" ht="15" hidden="0" customHeight="1">
      <x:c r="A13" s="63" t="str">
        <x:v>D-008</x:v>
      </x:c>
      <x:c r="B13" s="63" t="str">
        <x:v>High</x:v>
      </x:c>
      <x:c r="C13" s="63" t="str">
        <x:v>Trading UX</x:v>
      </x:c>
      <x:c r="D13" s="63" t="str">
        <x:v>Website has no recipient/import flow; trade helper only self-swaps.</x:v>
      </x:c>
      <x:c r="E13" s="63" t="str">
        <x:v>Open wallet and try to transfer to another wallet.</x:v>
      </x:c>
      <x:c r="F13" s="63" t="str">
        <x:v>Recipient key/token workflow available end-to-end.</x:v>
      </x:c>
      <x:c r="G13" s="63" t="str">
        <x:v>No controls; output pubkey is sender's own key.</x:v>
      </x:c>
      <x:c r="H13" s="63" t="str">
        <x:v>site/nutft-wallet.js:145-180; site/wallet.html</x:v>
      </x:c>
      <x:c r="I13" s="63" t="str">
        <x:v>Add two-wallet browser trade test</x:v>
      </x:c>
      <x:c r="J13" s="63" t="str">
        <x:v>b91099a</x:v>
      </x:c>
      <x:c r="K13" s="63" t="str">
        <x:v>Verified</x:v>
      </x:c>
    </x:row>
    <x:row r="14" ht="15" hidden="0" customHeight="1">
      <x:c r="A14" s="63" t="str">
        <x:v>D-009</x:v>
      </x:c>
      <x:c r="B14" s="63" t="str">
        <x:v>High</x:v>
      </x:c>
      <x:c r="C14" s="63" t="str">
        <x:v>Trade recovery</x:v>
      </x:c>
      <x:c r="D14" s="63" t="str">
        <x:v>Wallet loses idempotency key and output secrets if response is lost.</x:v>
      </x:c>
      <x:c r="E14" s="63" t="str">
        <x:v>Commit trade then abort response; retry transfer.</x:v>
      </x:c>
      <x:c r="F14" s="63" t="str">
        <x:v>Retry recovers same output/proof exactly once.</x:v>
      </x:c>
      <x:c r="G14" s="63" t="str">
        <x:v>New random request is generated on every call.</x:v>
      </x:c>
      <x:c r="H14" s="63" t="str">
        <x:v>site/nutft-wallet.js:157-178</x:v>
      </x:c>
      <x:c r="I14" s="63" t="str">
        <x:v>Add dropped-response regression</x:v>
      </x:c>
      <x:c r="J14" s="63" t="str">
        <x:v>a17cd22 / b91099a</x:v>
      </x:c>
      <x:c r="K14" s="63" t="str">
        <x:v>Verified</x:v>
      </x:c>
    </x:row>
    <x:row r="15" ht="21.600000381469727" hidden="0" customHeight="1">
      <x:c r="A15" s="63" t="str">
        <x:v>D-010</x:v>
      </x:c>
      <x:c r="B15" s="63" t="str">
        <x:v>High</x:v>
      </x:c>
      <x:c r="C15" s="63" t="str">
        <x:v>Applet integration</x:v>
      </x:c>
      <x:c r="D15" s="63" t="str">
        <x:v>Stack Builder trusts unrestricted catalog/shop handoff instead of verified wallet holdings.</x:v>
      </x:c>
      <x:c r="E15" s="63" t="str">
        <x:v>Buy one booster, then build copies/cards not owned.</x:v>
      </x:c>
      <x:c r="F15" s="63" t="str">
        <x:v>NutFT mode limits copies to verified unspent proofs.</x:v>
      </x:c>
      <x:c r="G15" s="63" t="str">
        <x:v>No NutFT wallet read in deck.html.</x:v>
      </x:c>
      <x:c r="H15" s="63" t="str">
        <x:v>docs/demo-spec.md §7; site/deck.html</x:v>
      </x:c>
      <x:c r="I15" s="63" t="str">
        <x:v>Add owned-copy browser tests</x:v>
      </x:c>
      <x:c r="J15" s="63" t="str">
        <x:v>10a1922</x:v>
      </x:c>
      <x:c r="K15" s="63" t="str">
        <x:v>Verified</x:v>
      </x:c>
    </x:row>
    <x:row r="16" ht="15" hidden="0" customHeight="1">
      <x:c r="A16" s="63" t="str">
        <x:v>D-011</x:v>
      </x:c>
      <x:c r="B16" s="63" t="str">
        <x:v>High</x:v>
      </x:c>
      <x:c r="C16" s="63" t="str">
        <x:v>Applet integration</x:v>
      </x:c>
      <x:c r="D16" s="63" t="str">
        <x:v>Gameplay starts custom decks without proving NutFT possession.</x:v>
      </x:c>
      <x:c r="E16" s="63" t="str">
        <x:v>Create arbitrary saved list and start game.</x:v>
      </x:c>
      <x:c r="F16" s="63" t="str">
        <x:v>NutFT-backed mode requires current controlled proofs.</x:v>
      </x:c>
      <x:c r="G16" s="63" t="str">
        <x:v>play.js reads card IDs only.</x:v>
      </x:c>
      <x:c r="H16" s="63" t="str">
        <x:v>docs/demo-spec.md §7; site/play.js:4220</x:v>
      </x:c>
      <x:c r="I16" s="63" t="str">
        <x:v>Add valid/missing/spent possession tests</x:v>
      </x:c>
      <x:c r="J16" s="63" t="str">
        <x:v>10a1922</x:v>
      </x:c>
      <x:c r="K16" s="63" t="str">
        <x:v>Verified</x:v>
      </x:c>
    </x:row>
    <x:row r="17" ht="15" hidden="0" customHeight="1">
      <x:c r="A17" s="63" t="str">
        <x:v>D-012</x:v>
      </x:c>
      <x:c r="B17" s="63" t="str">
        <x:v>Low</x:v>
      </x:c>
      <x:c r="C17" s="63" t="str">
        <x:v>Test logistics</x:v>
      </x:c>
      <x:c r="D17" s="63" t="str">
        <x:v>Python page inventory test was not updated for wallet.html.</x:v>
      </x:c>
      <x:c r="E17" s="63" t="str">
        <x:v>Run uv run --frozen pytest -q.</x:v>
      </x:c>
      <x:c r="F17" s="63" t="str">
        <x:v>New page is expected by repo contract.</x:v>
      </x:c>
      <x:c r="G17" s="63" t="str">
        <x:v>test_static_site_pages_live_together fails.</x:v>
      </x:c>
      <x:c r="H17" s="63" t="str">
        <x:v>tests/test_repo_structure.py:10</x:v>
      </x:c>
      <x:c r="I17" s="63" t="str">
        <x:v>Update expectation first with product test</x:v>
      </x:c>
      <x:c r="J17" s="63" t="str">
        <x:v>9ae88f1</x:v>
      </x:c>
      <x:c r="K17" s="63" t="str">
        <x:v>Verified</x:v>
      </x:c>
    </x:row>
    <x:row r="18" ht="21.600000381469727" hidden="0" customHeight="1">
      <x:c r="A18" s="63" t="str">
        <x:v>D-013</x:v>
      </x:c>
      <x:c r="B18" s="63" t="str">
        <x:v>Medium</x:v>
      </x:c>
      <x:c r="C18" s="63" t="str">
        <x:v>Store UX</x:v>
      </x:c>
      <x:c r="D18" s="63" t="str">
        <x:v>Mint-mode hero/footer still claims a published fixed shuffle/box verification that does not describe the census draw.</x:v>
      </x:c>
      <x:c r="E18" s="63" t="str">
        <x:v>Open /shop.html?shop=mint and read hero/proof sections.</x:v>
      </x:c>
      <x:c r="F18" s="63" t="str">
        <x:v>Mode copy describes census/beacon and what is/not publicly verifiable.</x:v>
      </x:c>
      <x:c r="G18" s="63" t="str">
        <x:v>Free-box copy remains visible in mint mode.</x:v>
      </x:c>
      <x:c r="H18" s="63" t="str">
        <x:v>site/shop.html; site/shop.js:722</x:v>
      </x:c>
      <x:c r="I18" s="63" t="str">
        <x:v>Add mode-copy browser assertion</x:v>
      </x:c>
      <x:c r="J18" s="63" t="str">
        <x:v>9ae88f1</x:v>
      </x:c>
      <x:c r="K18" s="63" t="str">
        <x:v>Verified</x:v>
      </x:c>
    </x:row>
    <x:row r="19" ht="15" hidden="0" customHeight="1">
      <x:c r="A19" s="63" t="str">
        <x:v>D-014</x:v>
      </x:c>
      <x:c r="B19" s="63" t="str">
        <x:v>High</x:v>
      </x:c>
      <x:c r="C19" s="63" t="str">
        <x:v>Wallet durability</x:v>
      </x:c>
      <x:c r="D19" s="63" t="str">
        <x:v>Malformed localStorage silently becomes an empty wallet in memory.</x:v>
      </x:c>
      <x:c r="E19" s="63" t="str">
        <x:v>Set 600b:nutft-wallet to invalid JSON and load.</x:v>
      </x:c>
      <x:c r="F19" s="63" t="str">
        <x:v>Non-destructive actionable error; raw value preserved/exportable.</x:v>
      </x:c>
      <x:c r="G19" s="63" t="str">
        <x:v>read() catches and creates empty state.</x:v>
      </x:c>
      <x:c r="H19" s="63" t="str">
        <x:v>site/nutft-wallet.js:21-29</x:v>
      </x:c>
      <x:c r="I19" s="63" t="str">
        <x:v>Add corruption/no-overwrite test</x:v>
      </x:c>
      <x:c r="J19" s="63" t="str">
        <x:v>b706922 / 04faa94</x:v>
      </x:c>
      <x:c r="K19" s="63" t="str">
        <x:v>Verified</x:v>
      </x:c>
    </x:row>
    <x:row r="20" ht="15" hidden="0" customHeight="1">
      <x:c r="A20" s="63" t="str">
        <x:v>D-015</x:v>
      </x:c>
      <x:c r="B20" s="63" t="str">
        <x:v>Medium</x:v>
      </x:c>
      <x:c r="C20" s="63" t="str">
        <x:v>Wallet resilience</x:v>
      </x:c>
      <x:c r="D20" s="63" t="str">
        <x:v>One invalid proof or failed Blossom face aborts rendering every wallet card.</x:v>
      </x:c>
      <x:c r="E20" s="63" t="str">
        <x:v>Mix valid card with one bad proof/face.</x:v>
      </x:c>
      <x:c r="F20" s="63" t="str">
        <x:v>Valid cards render; bad card is isolated with reason.</x:v>
      </x:c>
      <x:c r="G20" s="63" t="str">
        <x:v>snapshot/render throw from shared loop.</x:v>
      </x:c>
      <x:c r="H20" s="63" t="str">
        <x:v>site/nutft-wallet.js:129; site/wallet.html:59</x:v>
      </x:c>
      <x:c r="I20" s="63" t="str">
        <x:v>Add mixed-wallet browser test</x:v>
      </x:c>
      <x:c r="J20" s="63" t="str">
        <x:v>b706922</x:v>
      </x:c>
      <x:c r="K20" s="63" t="str">
        <x:v>Verified</x:v>
      </x:c>
    </x:row>
    <x:row r="21" ht="21.600000381469727" hidden="0" customHeight="1">
      <x:c r="A21" s="63" t="str">
        <x:v>D-016</x:v>
      </x:c>
      <x:c r="B21" s="63" t="str">
        <x:v>High</x:v>
      </x:c>
      <x:c r="C21" s="63" t="str">
        <x:v>Deployment</x:v>
      </x:c>
      <x:c r="D21" s="63" t="str">
        <x:v>Default token catalog_uri is localhost and must be manually overridden for any hosted website.</x:v>
      </x:c>
      <x:c r="E21" s="63" t="str">
        <x:v>Deploy without NUTFT_CATALOG_URI and mint a proof.</x:v>
      </x:c>
      <x:c r="F21" s="63" t="str">
        <x:v>Published token points to reachable immutable catalog.</x:v>
      </x:c>
      <x:c r="G21" s="63" t="str">
        <x:v>Default http://localhost:8777/nutft/catalog.</x:v>
      </x:c>
      <x:c r="H21" s="63" t="str">
        <x:v>server/nutft-mint.js:61</x:v>
      </x:c>
      <x:c r="I21" s="63" t="str">
        <x:v>Add boot/config validation or request-derived documented setup</x:v>
      </x:c>
      <x:c r="J21" s="63" t="str">
        <x:v>04faa94</x:v>
      </x:c>
      <x:c r="K21" s="63" t="str">
        <x:v>Verified</x:v>
      </x:c>
    </x:row>
    <x:row r="22" ht="15" hidden="0" customHeight="1">
      <x:c r="A22" s="63" t="str">
        <x:v>D-017</x:v>
      </x:c>
      <x:c r="B22" s="63" t="str">
        <x:v>Medium</x:v>
      </x:c>
      <x:c r="C22" s="63" t="str">
        <x:v>Platform smoke</x:v>
      </x:c>
      <x:c r="D22" s="63" t="str">
        <x:v>play.html logs an unidentified 404 during initial browser load.</x:v>
      </x:c>
      <x:c r="E22" s="63" t="str">
        <x:v>Open /play.html under table server and capture console/network.</x:v>
      </x:c>
      <x:c r="F22" s="63" t="str">
        <x:v>No missing runtime asset/request.</x:v>
      </x:c>
      <x:c r="G22" s="63" t="str">
        <x:v>Console: Failed to load resource 404.</x:v>
      </x:c>
      <x:c r="H22" s="63" t="str">
        <x:v>Browser baseline 2026-08-20</x:v>
      </x:c>
      <x:c r="I22" s="63" t="str">
        <x:v>Capture exact request then add smoke assertion</x:v>
      </x:c>
      <x:c r="J22" s="63" t="str">
        <x:v>9ae88f1</x:v>
      </x:c>
      <x:c r="K22" s="63" t="str">
        <x:v>Verified</x:v>
      </x:c>
    </x:row>
    <x:row r="23" ht="15" hidden="0" customHeight="1">
      <x:c r="A23" s="63" t="str">
        <x:v>D-018</x:v>
      </x:c>
      <x:c r="B23" s="63" t="str">
        <x:v>Medium</x:v>
      </x:c>
      <x:c r="C23" s="63" t="str">
        <x:v>Repository checks</x:v>
      </x:c>
      <x:c r="D23" s="63" t="str">
        <x:v>Two historical art manifest fixtures are absent, blocking four repository checks.</x:v>
      </x:c>
      <x:c r="E23" s="63" t="str">
        <x:v>Run uv run --frozen pytest -q on the final branch.</x:v>
      </x:c>
      <x:c r="F23" s="63" t="str">
        <x:v>Source manifests are available or the dependency is documented deterministically.</x:v>
      </x:c>
      <x:c r="G23" s="63" t="str">
        <x:v>Four checks cannot load art/references/join-detailed-front/manifest.json or art/generated/prompts-v2-final-1920x2400/manifest.json.</x:v>
      </x:c>
      <x:c r="H23" s="63" t="str">
        <x:v>pytest final 2026-08-20</x:v>
      </x:c>
      <x:c r="I23" s="63" t="str">
        <x:v>Restore the two source-art manifests, then rerun RUN-016</x:v>
      </x:c>
      <x:c r="J23" s="63"/>
      <x:c r="K23" s="63" t="str">
        <x:v>Triaged</x:v>
      </x:c>
    </x:row>
    <x:row r="24" ht="21.600000381469727" hidden="0" customHeight="1">
      <x:c r="A24" s="63" t="str">
        <x:v>D-019</x:v>
      </x:c>
      <x:c r="B24" s="63" t="str">
        <x:v>Critical</x:v>
      </x:c>
      <x:c r="C24" s="63" t="str">
        <x:v>Output integrity</x:v>
      </x:c>
      <x:c r="D24" s="63" t="str">
        <x:v>A clear asset declaration could differ from the hidden blinded secret, so the mint could sign a metadata-dropping proof.</x:v>
      </x:c>
      <x:c r="E24" s="63" t="str">
        <x:v>Submit B_ for a different hidden secret beside a valid declaration.</x:v>
      </x:c>
      <x:c r="F24" s="63" t="str">
        <x:v>Mint proves the signed secret carries the declared binding.</x:v>
      </x:c>
      <x:c r="G24" s="63" t="str">
        <x:v>Original design could not prove this without ZK.</x:v>
      </x:c>
      <x:c r="H24" s="63" t="str">
        <x:v>NUT-31 adversarial review</x:v>
      </x:c>
      <x:c r="I24" s="63" t="str">
        <x:v>Output opening mismatch tests</x:v>
      </x:c>
      <x:c r="J24" s="63" t="str">
        <x:v>67d1812 / NutFT 405614e</x:v>
      </x:c>
      <x:c r="K24" s="63" t="str">
        <x:v>Verified</x:v>
      </x:c>
    </x:row>
    <x:row r="25" ht="15" hidden="0" customHeight="1">
      <x:c r="A25" s="63" t="str">
        <x:v>D-020</x:v>
      </x:c>
      <x:c r="B25" s="63" t="str">
        <x:v>Critical</x:v>
      </x:c>
      <x:c r="C25" s="63" t="str">
        <x:v>Mint key custody</x:v>
      </x:c>
      <x:c r="D25" s="63" t="str">
        <x:v>Deterministic public demo seeds made mint and catalog issuer private keys derivable.</x:v>
      </x:c>
      <x:c r="E25" s="63" t="str">
        <x:v>Recompute documented fixed seeds.</x:v>
      </x:c>
      <x:c r="F25" s="63" t="str">
        <x:v>Unpredictable persisted keys.</x:v>
      </x:c>
      <x:c r="G25" s="63" t="str">
        <x:v>Anyone could forge signatures.</x:v>
      </x:c>
      <x:c r="H25" s="63" t="str">
        <x:v>Adversarial security review</x:v>
      </x:c>
      <x:c r="I25" s="63" t="str">
        <x:v>Restart preserves random keyset/issuer</x:v>
      </x:c>
      <x:c r="J25" s="63" t="str">
        <x:v>a17cd22</x:v>
      </x:c>
      <x:c r="K25" s="63" t="str">
        <x:v>Verified</x:v>
      </x:c>
    </x:row>
    <x:row r="26" ht="15" hidden="0" customHeight="1">
      <x:c r="A26" s="63" t="str">
        <x:v>D-021</x:v>
      </x:c>
      <x:c r="B26" s="63" t="str">
        <x:v>High</x:v>
      </x:c>
      <x:c r="C26" s="63" t="str">
        <x:v>Mint durability</x:v>
      </x:c>
      <x:c r="D26" s="63" t="str">
        <x:v>Spent state, booster cursor, and idempotency results were lost on restart.</x:v>
      </x:c>
      <x:c r="E26" s="63" t="str">
        <x:v>Complete operations and restart process.</x:v>
      </x:c>
      <x:c r="F26" s="63" t="str">
        <x:v>No replay/double spend and exact response recovery.</x:v>
      </x:c>
      <x:c r="G26" s="63" t="str">
        <x:v>In-memory maps reset.</x:v>
      </x:c>
      <x:c r="H26" s="63" t="str">
        <x:v>Adversarial security review</x:v>
      </x:c>
      <x:c r="I26" s="63" t="str">
        <x:v>SQLite restart regression</x:v>
      </x:c>
      <x:c r="J26" s="63" t="str">
        <x:v>a17cd22</x:v>
      </x:c>
      <x:c r="K26" s="63" t="str">
        <x:v>Verified</x:v>
      </x:c>
    </x:row>
    <x:row r="27" ht="15" hidden="0" customHeight="1">
      <x:c r="A27" s="63" t="str">
        <x:v>D-022</x:v>
      </x:c>
      <x:c r="B27" s="63" t="str">
        <x:v>High</x:v>
      </x:c>
      <x:c r="C27" s="63" t="str">
        <x:v>Issuance recovery</x:v>
      </x:c>
      <x:c r="D27" s="63" t="str">
        <x:v>A lost booster response could consume inventory while the wallet lost output secrets.</x:v>
      </x:c>
      <x:c r="E27" s="63" t="str">
        <x:v>Drop response after commit.</x:v>
      </x:c>
      <x:c r="F27" s="63" t="str">
        <x:v>Retry same durable operation and finalize once.</x:v>
      </x:c>
      <x:c r="G27" s="63" t="str">
        <x:v>Original request was not durable.</x:v>
      </x:c>
      <x:c r="H27" s="63" t="str">
        <x:v>Adversarial security review</x:v>
      </x:c>
      <x:c r="I27" s="63" t="str">
        <x:v>Lost-response wallet regression</x:v>
      </x:c>
      <x:c r="J27" s="63" t="str">
        <x:v>a17cd22 / b91099a</x:v>
      </x:c>
      <x:c r="K27" s="63" t="str">
        <x:v>Verified</x:v>
      </x:c>
    </x:row>
    <x:row r="28" ht="15" hidden="0" customHeight="1">
      <x:c r="A28" s="63" t="str">
        <x:v>D-023</x:v>
      </x:c>
      <x:c r="B28" s="63" t="str">
        <x:v>High</x:v>
      </x:c>
      <x:c r="C28" s="63" t="str">
        <x:v>P2BK enforcement</x:v>
      </x:c>
      <x:c r="D28" s="63" t="str">
        <x:v>Mint did not require P2BK on every demo output.</x:v>
      </x:c>
      <x:c r="E28" s="63" t="str">
        <x:v>Submit ordinary P2PK output.</x:v>
      </x:c>
      <x:c r="F28" s="63" t="str">
        <x:v>Reject because demo profile requires P2BK.</x:v>
      </x:c>
      <x:c r="G28" s="63" t="str">
        <x:v>Non-P2BK output accepted.</x:v>
      </x:c>
      <x:c r="H28" s="63" t="str">
        <x:v>Adversarial protocol review</x:v>
      </x:c>
      <x:c r="I28" s="63" t="str">
        <x:v>Output opening/P2BK tests</x:v>
      </x:c>
      <x:c r="J28" s="63" t="str">
        <x:v>67d1812</x:v>
      </x:c>
      <x:c r="K28" s="63" t="str">
        <x:v>Verified</x:v>
      </x:c>
    </x:row>
    <x:row r="29" ht="15" hidden="0" customHeight="1">
      <x:c r="A29" s="63" t="str">
        <x:v>D-024</x:v>
      </x:c>
      <x:c r="B29" s="63" t="str">
        <x:v>High</x:v>
      </x:c>
      <x:c r="C29" s="63" t="str">
        <x:v>Idempotency</x:v>
      </x:c>
      <x:c r="D29" s="63" t="str">
        <x:v>An idempotency key could be replayed with a changed request body.</x:v>
      </x:c>
      <x:c r="E29" s="63" t="str">
        <x:v>Reuse key with changed opening.</x:v>
      </x:c>
      <x:c r="F29" s="63" t="str">
        <x:v>Reject body mismatch.</x:v>
      </x:c>
      <x:c r="G29" s="63" t="str">
        <x:v>Cached response could be returned for another body.</x:v>
      </x:c>
      <x:c r="H29" s="63" t="str">
        <x:v>Adversarial security review</x:v>
      </x:c>
      <x:c r="I29" s="63" t="str">
        <x:v>Changed-body idempotency tests</x:v>
      </x:c>
      <x:c r="J29" s="63" t="str">
        <x:v>67d1812 / a17cd22</x:v>
      </x:c>
      <x:c r="K29" s="63" t="str">
        <x:v>Verified</x:v>
      </x:c>
    </x:row>
    <x:row r="30" ht="15" hidden="0" customHeight="1">
      <x:c r="A30" s="63" t="str">
        <x:v>D-025</x:v>
      </x:c>
      <x:c r="B30" s="63" t="str">
        <x:v>High</x:v>
      </x:c>
      <x:c r="C30" s="63" t="str">
        <x:v>Wallet concurrency</x:v>
      </x:c>
      <x:c r="D30" s="63" t="str">
        <x:v>Two tabs could race local bearer-token updates.</x:v>
      </x:c>
      <x:c r="E30" s="63" t="str">
        <x:v>Buy or transfer concurrently.</x:v>
      </x:c>
      <x:c r="F30" s="63" t="str">
        <x:v>Serialize wallet mutations.</x:v>
      </x:c>
      <x:c r="G30" s="63" t="str">
        <x:v>Last localStorage write could drop proofs.</x:v>
      </x:c>
      <x:c r="H30" s="63" t="str">
        <x:v>Adversarial security review</x:v>
      </x:c>
      <x:c r="I30" s="63" t="str">
        <x:v>navigator.locks path + wallet regressions</x:v>
      </x:c>
      <x:c r="J30" s="63" t="str">
        <x:v>b706922</x:v>
      </x:c>
      <x:c r="K30" s="63" t="str">
        <x:v>Verified</x:v>
      </x:c>
    </x:row>
    <x:row r="31" ht="15" hidden="0" customHeight="1">
      <x:c r="A31" s="63" t="str">
        <x:v>D-026</x:v>
      </x:c>
      <x:c r="B31" s="63" t="str">
        <x:v>High</x:v>
      </x:c>
      <x:c r="C31" s="63" t="str">
        <x:v>Blossom verification</x:v>
      </x:c>
      <x:c r="D31" s="63" t="str">
        <x:v>Display URL could change between verification and image rendering.</x:v>
      </x:c>
      <x:c r="E31" s="63" t="str">
        <x:v>Serve different bytes on repeated URL request.</x:v>
      </x:c>
      <x:c r="F31" s="63" t="str">
        <x:v>Render the exact verified bytes and try mirrors safely.</x:v>
      </x:c>
      <x:c r="G31" s="63" t="str">
        <x:v>Browser could refetch mutable URL.</x:v>
      </x:c>
      <x:c r="H31" s="63" t="str">
        <x:v>Adversarial security review</x:v>
      </x:c>
      <x:c r="I31" s="63" t="str">
        <x:v>RUN-009 displayed-byte hash flow</x:v>
      </x:c>
      <x:c r="J31" s="63" t="str">
        <x:v>b706922</x:v>
      </x:c>
      <x:c r="K31" s="63" t="str">
        <x:v>Verified</x:v>
      </x:c>
    </x:row>
    <x:row r="32" ht="21.600000381469727" hidden="0" customHeight="1">
      <x:c r="A32" s="63" t="str">
        <x:v>D-027</x:v>
      </x:c>
      <x:c r="B32" s="63" t="str">
        <x:v>Medium</x:v>
      </x:c>
      <x:c r="C32" s="63" t="str">
        <x:v>HTTP validation</x:v>
      </x:c>
      <x:c r="D32" s="63" t="str">
        <x:v>Unbounded/malformed checkstate and JSON requests could consume memory or throw inconsistently.</x:v>
      </x:c>
      <x:c r="E32" s="63" t="str">
        <x:v>Send oversized body/invalid points.</x:v>
      </x:c>
      <x:c r="F32" s="63" t="str">
        <x:v>Bound and reject before crypto work.</x:v>
      </x:c>
      <x:c r="G32" s="63" t="str">
        <x:v>Weak boundary validation.</x:v>
      </x:c>
      <x:c r="H32" s="63" t="str">
        <x:v>Adversarial security review</x:v>
      </x:c>
      <x:c r="I32" s="63" t="str">
        <x:v>Malformed input tests</x:v>
      </x:c>
      <x:c r="J32" s="63" t="str">
        <x:v>a17cd22</x:v>
      </x:c>
      <x:c r="K32" s="63" t="str">
        <x:v>Verified</x:v>
      </x:c>
    </x:row>
    <x:row r="33" ht="15" hidden="0" customHeight="1">
      <x:c r="A33" s="63" t="str">
        <x:v>D-028</x:v>
      </x:c>
      <x:c r="B33" s="63" t="str">
        <x:v>Medium</x:v>
      </x:c>
      <x:c r="C33" s="63" t="str">
        <x:v>Wallet state</x:v>
      </x:c>
      <x:c r="D33" s="63" t="str">
        <x:v>Spent proofs remained presented as owned cards.</x:v>
      </x:c>
      <x:c r="E33" s="63" t="str">
        <x:v>Spend then reload sender wallet.</x:v>
      </x:c>
      <x:c r="F33" s="63" t="str">
        <x:v>Separate SPENT from UNSPENT and exclude from ownership.</x:v>
      </x:c>
      <x:c r="G33" s="63" t="str">
        <x:v>Spent card still appeared usable.</x:v>
      </x:c>
      <x:c r="H33" s="63" t="str">
        <x:v>Product review</x:v>
      </x:c>
      <x:c r="I33" s="63" t="str">
        <x:v>RUN-005 + RUN-009</x:v>
      </x:c>
      <x:c r="J33" s="63" t="str">
        <x:v>b706922</x:v>
      </x:c>
      <x:c r="K33" s="63" t="str">
        <x:v>Verified</x:v>
      </x:c>
    </x:row>
    <x:row r="34" ht="15" hidden="0" customHeight="1">
      <x:c r="A34" s="63" t="str">
        <x:v>D-029</x:v>
      </x:c>
      <x:c r="B34" s="63" t="str">
        <x:v>Medium</x:v>
      </x:c>
      <x:c r="C34" s="63" t="str">
        <x:v>Card navigation</x:v>
      </x:c>
      <x:c r="D34" s="63" t="str">
        <x:v>Shop card links used hashes while gallery deep links use ?card=.</x:v>
      </x:c>
      <x:c r="E34" s="63" t="str">
        <x:v>Open pulled card details.</x:v>
      </x:c>
      <x:c r="F34" s="63" t="str">
        <x:v>Correct card dialog opens.</x:v>
      </x:c>
      <x:c r="G34" s="63" t="str">
        <x:v>Link did not select card.</x:v>
      </x:c>
      <x:c r="H34" s="63" t="str">
        <x:v>Product review</x:v>
      </x:c>
      <x:c r="I34" s="63" t="str">
        <x:v>RUN-010 deep-link test</x:v>
      </x:c>
      <x:c r="J34" s="63" t="str">
        <x:v>9ae88f1</x:v>
      </x:c>
      <x:c r="K34" s="63" t="str">
        <x:v>Verified</x:v>
      </x:c>
    </x:row>
    <x:row r="35" ht="15" hidden="0" customHeight="1">
      <x:c r="A35" s="63" t="str">
        <x:v>D-030</x:v>
      </x:c>
      <x:c r="B35" s="63" t="str">
        <x:v>Medium</x:v>
      </x:c>
      <x:c r="C35" s="63" t="str">
        <x:v>Stack legality</x:v>
      </x:c>
      <x:c r="D35" s="63" t="str">
        <x:v>Builder UI could save four copies despite engine three-copy rule.</x:v>
      </x:c>
      <x:c r="E35" s="63" t="str">
        <x:v>Add fourth non-Basic copy.</x:v>
      </x:c>
      <x:c r="F35" s="63" t="str">
        <x:v>Refuse save and explain limit.</x:v>
      </x:c>
      <x:c r="G35" s="63" t="str">
        <x:v>UI and engine disagreed.</x:v>
      </x:c>
      <x:c r="H35" s="63" t="str">
        <x:v>Product review</x:v>
      </x:c>
      <x:c r="I35" s="63" t="str">
        <x:v>Browser rejection + engine tests</x:v>
      </x:c>
      <x:c r="J35" s="63" t="str">
        <x:v>10a1922</x:v>
      </x:c>
      <x:c r="K35" s="63" t="str">
        <x:v>Verified</x:v>
      </x:c>
    </x:row>
    <x:row r="36" ht="15" hidden="0" customHeight="1">
      <x:c r="A36" s="63" t="str">
        <x:v>D-031</x:v>
      </x:c>
      <x:c r="B36" s="63" t="str">
        <x:v>Medium</x:v>
      </x:c>
      <x:c r="C36" s="63" t="str">
        <x:v>Table discovery</x:v>
      </x:c>
      <x:c r="D36" s="63" t="str">
        <x:v>A listed table whose host left still offered Join.</x:v>
      </x:c>
      <x:c r="E36" s="63" t="str">
        <x:v>List open table after host departure.</x:v>
      </x:c>
      <x:c r="F36" s="63" t="str">
        <x:v>Join disabled until host is present.</x:v>
      </x:c>
      <x:c r="G36" s="63" t="str">
        <x:v>Dead join path.</x:v>
      </x:c>
      <x:c r="H36" s="63" t="str">
        <x:v>Product review</x:v>
      </x:c>
      <x:c r="I36" s="63" t="str">
        <x:v>Client regression test</x:v>
      </x:c>
      <x:c r="J36" s="63" t="str">
        <x:v>9ae88f1</x:v>
      </x:c>
      <x:c r="K36" s="63" t="str">
        <x:v>Verified</x:v>
      </x:c>
    </x:row>
    <x:row r="37" ht="15" hidden="0" customHeight="1">
      <x:c r="A37" s="63" t="str">
        <x:v>D-032</x:v>
      </x:c>
      <x:c r="B37" s="63" t="str">
        <x:v>Low</x:v>
      </x:c>
      <x:c r="C37" s="63" t="str">
        <x:v>Invitations</x:v>
      </x:c>
      <x:c r="D37" s="63" t="str">
        <x:v>Relay invitation search could remain in a loading state forever.</x:v>
      </x:c>
      <x:c r="E37" s="63" t="str">
        <x:v>Return no relay events.</x:v>
      </x:c>
      <x:c r="F37" s="63" t="str">
        <x:v>Terminal empty state and retry.</x:v>
      </x:c>
      <x:c r="G37" s="63" t="str">
        <x:v>Indefinite listening message.</x:v>
      </x:c>
      <x:c r="H37" s="63" t="str">
        <x:v>Product review</x:v>
      </x:c>
      <x:c r="I37" s="63" t="str">
        <x:v>Client regression/source review</x:v>
      </x:c>
      <x:c r="J37" s="63" t="str">
        <x:v>9ae88f1</x:v>
      </x:c>
      <x:c r="K37" s="63" t="str">
        <x:v>Verified</x:v>
      </x:c>
    </x:row>
    <x:row r="38" ht="15" hidden="0" customHeight="1">
      <x:c r="A38" s="63" t="str">
        <x:v>D-033</x:v>
      </x:c>
      <x:c r="B38" s="63" t="str">
        <x:v>Medium</x:v>
      </x:c>
      <x:c r="C38" s="63" t="str">
        <x:v>Nostr publishing</x:v>
      </x:c>
      <x:c r="D38" s="63" t="str">
        <x:v>A failed relay publication was marked as already announced.</x:v>
      </x:c>
      <x:c r="E38" s="63" t="str">
        <x:v>Make relay publish fail then retry.</x:v>
      </x:c>
      <x:c r="F38" s="63" t="str">
        <x:v>Retry remains available.</x:v>
      </x:c>
      <x:c r="G38" s="63" t="str">
        <x:v>Failure suppressed future attempts.</x:v>
      </x:c>
      <x:c r="H38" s="63" t="str">
        <x:v>Product review</x:v>
      </x:c>
      <x:c r="I38" s="63" t="str">
        <x:v>Client regression test</x:v>
      </x:c>
      <x:c r="J38" s="63" t="str">
        <x:v>9ae88f1</x:v>
      </x:c>
      <x:c r="K38" s="63" t="str">
        <x:v>Verified</x:v>
      </x:c>
    </x:row>
    <x:row r="39" ht="15" hidden="0" customHeight="1">
      <x:c r="A39" s="63" t="str">
        <x:v>D-034</x:v>
      </x:c>
      <x:c r="B39" s="63" t="str">
        <x:v>Low</x:v>
      </x:c>
      <x:c r="C39" s="63" t="str">
        <x:v>Leaderboard storage</x:v>
      </x:c>
      <x:c r="D39" s="63" t="str">
        <x:v>Plain website had no local persistence fallback.</x:v>
      </x:c>
      <x:c r="E39" s="63" t="str">
        <x:v>Use without host shell.</x:v>
      </x:c>
      <x:c r="F39" s="63" t="str">
        <x:v>localStorage keeps scratch records.</x:v>
      </x:c>
      <x:c r="G39" s="63" t="str">
        <x:v>Records vanished on reload.</x:v>
      </x:c>
      <x:c r="H39" s="63" t="str">
        <x:v>Product review</x:v>
      </x:c>
      <x:c r="I39" s="63" t="str">
        <x:v>Storage unit tests</x:v>
      </x:c>
      <x:c r="J39" s="63" t="str">
        <x:v>9ae88f1</x:v>
      </x:c>
      <x:c r="K39" s="63" t="str">
        <x:v>Verified</x:v>
      </x:c>
    </x:row>
    <x:row r="40" ht="15" hidden="0" customHeight="1">
      <x:c r="A40" s="63" t="str">
        <x:v>D-035</x:v>
      </x:c>
      <x:c r="B40" s="63" t="str">
        <x:v>Low</x:v>
      </x:c>
      <x:c r="C40" s="63" t="str">
        <x:v>Rules consistency</x:v>
      </x:c>
      <x:c r="D40" s="63" t="str">
        <x:v>Builder and rulebook disagreed on the three-copy Basic Resource exception.</x:v>
      </x:c>
      <x:c r="E40" s="63" t="str">
        <x:v>Compare rulebook to engine validation.</x:v>
      </x:c>
      <x:c r="F40" s="63" t="str">
        <x:v>One consistent rule.</x:v>
      </x:c>
      <x:c r="G40" s="63" t="str">
        <x:v>Contradictory copy.</x:v>
      </x:c>
      <x:c r="H40" s="63" t="str">
        <x:v>Product review</x:v>
      </x:c>
      <x:c r="I40" s="63" t="str">
        <x:v>RUN-006 + RUN-010</x:v>
      </x:c>
      <x:c r="J40" s="63" t="str">
        <x:v>9ae88f1</x:v>
      </x:c>
      <x:c r="K40" s="63" t="str">
        <x:v>Verified</x:v>
      </x:c>
    </x:row>
    <x:row r="41" ht="15" hidden="0" customHeight="1">
      <x:c r="A41" s="63" t="str">
        <x:v>D-036</x:v>
      </x:c>
      <x:c r="B41" s="63" t="str">
        <x:v>High</x:v>
      </x:c>
      <x:c r="C41" s="63" t="str">
        <x:v>Wallet recovery</x:v>
      </x:c>
      <x:c r="D41" s="63" t="str">
        <x:v>Browser storage loss had no explicit bearer-asset backup/restore path.</x:v>
      </x:c>
      <x:c r="E41" s="63" t="str">
        <x:v>Reset browser profile.</x:v>
      </x:c>
      <x:c r="F41" s="63" t="str">
        <x:v>Download secret backup and restore only into empty wallet.</x:v>
      </x:c>
      <x:c r="G41" s="63" t="str">
        <x:v>Tokens/private key were unrecoverable.</x:v>
      </x:c>
      <x:c r="H41" s="63" t="str">
        <x:v>Product review</x:v>
      </x:c>
      <x:c r="I41" s="63" t="str">
        <x:v>RUN-005 + RUN-009</x:v>
      </x:c>
      <x:c r="J41" s="63" t="str">
        <x:v>04faa94</x:v>
      </x:c>
      <x:c r="K41" s="63" t="str">
        <x:v>Verified</x:v>
      </x:c>
    </x:row>
    <x:row r="42" ht="15" hidden="0" customHeight="1">
      <x:c r="A42" s="63" t="str">
        <x:v>D-037</x:v>
      </x:c>
      <x:c r="B42" s="63" t="str">
        <x:v>Low</x:v>
      </x:c>
      <x:c r="C42" s="63" t="str">
        <x:v>Cross-applet UX</x:v>
      </x:c>
      <x:c r="D42" s="63" t="str">
        <x:v>Send to Stack Builder saved data but left the user in the shop.</x:v>
      </x:c>
      <x:c r="E42" s="63" t="str">
        <x:v>Open free pack and click Send.</x:v>
      </x:c>
      <x:c r="F42" s="63" t="str">
        <x:v>Navigate to builder and load saved collection.</x:v>
      </x:c>
      <x:c r="G42" s="63" t="str">
        <x:v>User had to discover the next page manually.</x:v>
      </x:c>
      <x:c r="H42" s="63" t="str">
        <x:v>RUN-010</x:v>
      </x:c>
      <x:c r="I42" s="63" t="str">
        <x:v>Browser handoff regression</x:v>
      </x:c>
      <x:c r="J42" s="63" t="str">
        <x:v>b1fd2bf</x:v>
      </x:c>
      <x:c r="K42" s="63" t="str">
        <x:v>Verified</x:v>
      </x:c>
    </x:row>
    <x:row r="43" ht="15" hidden="0" customHeight="1">
      <x:c r="A43" s="63" t="str">
        <x:v>D-038</x:v>
      </x:c>
      <x:c r="B43" s="63" t="str">
        <x:v>Medium</x:v>
      </x:c>
      <x:c r="C43" s="63" t="str">
        <x:v>Card metadata</x:v>
      </x:c>
      <x:c r="D43" s="63" t="str">
        <x:v>Catalog omitted gameplay/display fields from the supplied Blossom manifest.</x:v>
      </x:c>
      <x:c r="E43" s="63" t="str">
        <x:v>Inspect signed catalog entry.</x:v>
      </x:c>
      <x:c r="F43" s="63" t="str">
        <x:v>Expose inert full metadata and face hashes.</x:v>
      </x:c>
      <x:c r="G43" s="63" t="str">
        <x:v>Wallet/catalog had a reduced card subset.</x:v>
      </x:c>
      <x:c r="H43" s="63" t="str">
        <x:v>Manifest comparison</x:v>
      </x:c>
      <x:c r="I43" s="63" t="str">
        <x:v>Catalog metadata test</x:v>
      </x:c>
      <x:c r="J43" s="63" t="str">
        <x:v>93210b6</x:v>
      </x:c>
      <x:c r="K43" s="63" t="str">
        <x:v>Verified</x:v>
      </x:c>
    </x:row>
    <x:row r="44" ht="15" hidden="0" customHeight="1">
      <x:c r="A44" s="63" t="str">
        <x:v>D-039</x:v>
      </x:c>
      <x:c r="B44" s="63" t="str">
        <x:v>Low</x:v>
      </x:c>
      <x:c r="C44" s="63" t="str">
        <x:v>Wallet feedback</x:v>
      </x:c>
      <x:c r="D44" s="63" t="str">
        <x:v>Sender proof count stayed stale after a successful transfer.</x:v>
      </x:c>
      <x:c r="E44" s="63" t="str">
        <x:v>Transfer card without reload.</x:v>
      </x:c>
      <x:c r="F44" s="63" t="str">
        <x:v>Count immediately changes 7→6 while token remains copyable.</x:v>
      </x:c>
      <x:c r="G44" s="63" t="str">
        <x:v>Tile disappeared but chip still said seven.</x:v>
      </x:c>
      <x:c r="H44" s="63" t="str">
        <x:v>RUN-009</x:v>
      </x:c>
      <x:c r="I44" s="63" t="str">
        <x:v>Two-wallet browser assertion</x:v>
      </x:c>
      <x:c r="J44" s="63" t="str">
        <x:v>5266c8d</x:v>
      </x:c>
      <x:c r="K44" s="63" t="str">
        <x:v>Verified</x:v>
      </x:c>
    </x:row>
    <x:row r="45" ht="21.600000381469727" hidden="0" customHeight="1">
      <x:c r="A45" s="63" t="str">
        <x:v>D-040</x:v>
      </x:c>
      <x:c r="B45" s="63" t="str">
        <x:v>Critical</x:v>
      </x:c>
      <x:c r="C45" s="63" t="str">
        <x:v>Mint configuration</x:v>
      </x:c>
      <x:c r="D45" s="63" t="str">
        <x:v>A persisted mint could restart under a different census, collection, or catalog URI and split CardBinding compatibility.</x:v>
      </x:c>
      <x:c r="E45" s="63" t="str">
        <x:v>Create database, restart with changed catalog URI.</x:v>
      </x:c>
      <x:c r="F45" s="63" t="str">
        <x:v>Refuse boot and close the database handle.</x:v>
      </x:c>
      <x:c r="G45" s="63" t="str">
        <x:v>Persisted keys/state were reused with a new binding namespace.</x:v>
      </x:c>
      <x:c r="H45" s="63" t="str">
        <x:v>Remote branch regression review</x:v>
      </x:c>
      <x:c r="I45" s="63" t="str">
        <x:v>Focused restart/config test</x:v>
      </x:c>
      <x:c r="J45" s="63" t="str">
        <x:v>bb1731c</x:v>
      </x:c>
      <x:c r="K45" s="63" t="str">
        <x:v>Verified</x:v>
      </x:c>
    </x:row>
    <x:row r="46" ht="15" hidden="0" customHeight="1">
      <x:c r="A46" s="53" t="str">
        <x:v>D-041</x:v>
      </x:c>
      <x:c r="B46" s="53" t="str">
        <x:v>Low</x:v>
      </x:c>
      <x:c r="C46" s="53" t="str">
        <x:v>Rulebook</x:v>
      </x:c>
      <x:c r="D46" s="53" t="str">
        <x:v>Search ignored chapter body terms</x:v>
      </x:c>
      <x:c r="E46" s="53" t="str">
        <x:v>Search for “classic burn” in Rules.</x:v>
      </x:c>
      <x:c r="F46" s="53" t="str">
        <x:v>Relevant chapters remain visible.</x:v>
      </x:c>
      <x:c r="G46" s="53" t="str">
        <x:v>No chapter matched because only visible titles were searched.</x:v>
      </x:c>
      <x:c r="H46" s="53" t="str">
        <x:v>site/rules.html; scripts/build-rulebook.cjs</x:v>
      </x:c>
      <x:c r="I46" s="53" t="str">
        <x:v>tests/test_repo_structure.py rule-search data</x:v>
      </x:c>
      <x:c r="J46" s="140" t="str">
        <x:v>d0bcc97</x:v>
      </x:c>
      <x:c r="K46" s="53" t="str">
        <x:v>Verified</x:v>
      </x:c>
    </x:row>
    <x:row r="47" ht="26.399999618530273" hidden="0" customHeight="1">
      <x:c r="A47" s="53" t="str">
        <x:v>D-042</x:v>
      </x:c>
      <x:c r="B47" s="53" t="str">
        <x:v>High</x:v>
      </x:c>
      <x:c r="C47" s="53" t="str">
        <x:v>Paid mint</x:v>
      </x:c>
      <x:c r="D47" s="53" t="str">
        <x:v>Invalid claim outputs consumed a paid invoice</x:v>
      </x:c>
      <x:c r="E47" s="53" t="str">
        <x:v>Pay a quote, then claim with malformed outputs and retry correctly.</x:v>
      </x:c>
      <x:c r="F47" s="53" t="str">
        <x:v>Invalid output is rejected and the paid invoice remains claimable.</x:v>
      </x:c>
      <x:c r="G47" s="53" t="str">
        <x:v>Quote cleanup happened before output validation.</x:v>
      </x:c>
      <x:c r="H47" s="53" t="str">
        <x:v>server/nutft-mint.js</x:v>
      </x:c>
      <x:c r="I47" s="53" t="str">
        <x:v>tests/js/nutft.test.mjs invalid-output retry</x:v>
      </x:c>
      <x:c r="J47" s="140" t="str">
        <x:v>89c5e62</x:v>
      </x:c>
      <x:c r="K47" s="53" t="str">
        <x:v>Verified</x:v>
      </x:c>
    </x:row>
    <x:row r="48" ht="15" hidden="0" customHeight="1">
      <x:c r="A48" s="53" t="str">
        <x:v>D-043</x:v>
      </x:c>
      <x:c r="B48" s="53" t="str">
        <x:v>Critical</x:v>
      </x:c>
      <x:c r="C48" s="53" t="str">
        <x:v>Paid mint</x:v>
      </x:c>
      <x:c r="D48" s="53" t="str">
        <x:v>Browser wallet could not claim sealed boosters</x:v>
      </x:c>
      <x:c r="E48" s="53" t="str">
        <x:v>Buy a future-beacon pack and wait for the target block.</x:v>
      </x:c>
      <x:c r="F48" s="53" t="str">
        <x:v>Wallet reveals, builds openings, and claims the committed pack.</x:v>
      </x:c>
      <x:c r="G48" s="53" t="str">
        <x:v>Client mapped null cards before calling the reveal endpoint.</x:v>
      </x:c>
      <x:c r="H48" s="53" t="str">
        <x:v>site/nutft-wallet.js</x:v>
      </x:c>
      <x:c r="I48" s="53" t="str">
        <x:v>browser wallet sealed-pack regression</x:v>
      </x:c>
      <x:c r="J48" s="140" t="str">
        <x:v>'62e0718</x:v>
      </x:c>
      <x:c r="K48" s="53" t="str">
        <x:v>Verified</x:v>
      </x:c>
    </x:row>
    <x:row r="49" ht="15" hidden="0" customHeight="1">
      <x:c r="A49" s="53" t="str">
        <x:v>D-044</x:v>
      </x:c>
      <x:c r="B49" s="53" t="str">
        <x:v>High</x:v>
      </x:c>
      <x:c r="C49" s="53" t="str">
        <x:v>Wallet import</x:v>
      </x:c>
      <x:c r="D49" s="53" t="str">
        <x:v>Duplicate proofs were accepted in imported tokens</x:v>
      </x:c>
      <x:c r="E49" s="53" t="str">
        <x:v>Import a token containing the same proof twice.</x:v>
      </x:c>
      <x:c r="F49" s="53" t="str">
        <x:v>Reject the token without changing wallet state.</x:v>
      </x:c>
      <x:c r="G49" s="53" t="str">
        <x:v>Each proof was valid alone, but uniqueness was not checked.</x:v>
      </x:c>
      <x:c r="H49" s="53" t="str">
        <x:v>site/nutft-wallet.js</x:v>
      </x:c>
      <x:c r="I49" s="53" t="str">
        <x:v>duplicate-proof import regression</x:v>
      </x:c>
      <x:c r="J49" s="140" t="str">
        <x:v>adcf50b</x:v>
      </x:c>
      <x:c r="K49" s="53" t="str">
        <x:v>Verified</x:v>
      </x:c>
    </x:row>
    <x:row r="50" ht="26.399999618530273" hidden="0" customHeight="1">
      <x:c r="A50" s="53" t="str">
        <x:v>D-045</x:v>
      </x:c>
      <x:c r="B50" s="53" t="str">
        <x:v>High</x:v>
      </x:c>
      <x:c r="C50" s="53" t="str">
        <x:v>Wallet ownership</x:v>
      </x:c>
      <x:c r="D50" s="53" t="str">
        <x:v>Snapshots counted proofs owned by another P2BK key</x:v>
      </x:c>
      <x:c r="E50" s="53" t="str">
        <x:v>Place a valid unspent proof addressed to another key in wallet storage.</x:v>
      </x:c>
      <x:c r="F50" s="53" t="str">
        <x:v>Classify it as invalid/not owned and exclude it from possession.</x:v>
      </x:c>
      <x:c r="G50" s="53" t="str">
        <x:v>Snapshot validated proof integrity but not the wallet destination key.</x:v>
      </x:c>
      <x:c r="H50" s="53" t="str">
        <x:v>site/nutft-wallet.js</x:v>
      </x:c>
      <x:c r="I50" s="53" t="str">
        <x:v>foreign-owner snapshot regression</x:v>
      </x:c>
      <x:c r="J50" s="140" t="str">
        <x:v>9bbee47</x:v>
      </x:c>
      <x:c r="K50" s="53" t="str">
        <x:v>Verified</x:v>
      </x:c>
    </x:row>
    <x:row r="51" ht="26.399999618530273" hidden="0" customHeight="1">
      <x:c r="A51" s="53" t="str">
        <x:v>D-046</x:v>
      </x:c>
      <x:c r="B51" s="53" t="str">
        <x:v>High</x:v>
      </x:c>
      <x:c r="C51" s="53" t="str">
        <x:v>Stack storage</x:v>
      </x:c>
      <x:c r="D51" s="53" t="str">
        <x:v>NutFT ownership markers bypassed shared shell storage</x:v>
      </x:c>
      <x:c r="E51" s="53" t="str">
        <x:v>Save an OG Stack through the Napplet storage adapter, then open Play.</x:v>
      </x:c>
      <x:c r="F51" s="53" t="str">
        <x:v>Stack and ownership marker cross the same storage boundary.</x:v>
      </x:c>
      <x:c r="G51" s="53" t="str">
        <x:v>The Stack used shared storage while its marker used localStorage.</x:v>
      </x:c>
      <x:c r="H51" s="53" t="str">
        <x:v>site/deck.html; site/play.js</x:v>
      </x:c>
      <x:c r="I51" s="53" t="str">
        <x:v>shell-stored marker client + structure regressions</x:v>
      </x:c>
      <x:c r="J51" s="140" t="str">
        <x:v>54637d4</x:v>
      </x:c>
      <x:c r="K51" s="53" t="str">
        <x:v>Verified</x:v>
      </x:c>
    </x:row>
    <x:row r="52" ht="15" hidden="0" customHeight="1">
      <x:c r="A52" s="53" t="str">
        <x:v>D-047</x:v>
      </x:c>
      <x:c r="B52" s="53" t="str">
        <x:v>High</x:v>
      </x:c>
      <x:c r="C52" s="53" t="str">
        <x:v>Gameplay ownership</x:v>
      </x:c>
      <x:c r="D52" s="53" t="str">
        <x:v>Stale NutFT markers could authorize an empty ownership check</x:v>
      </x:c>
      <x:c r="E52" s="53" t="str">
        <x:v>Keep a marker after deleting its named Stack and press Start.</x:v>
      </x:c>
      <x:c r="F52" s="53" t="str">
        <x:v>Refuse the missing marked Stack before wallet verification.</x:v>
      </x:c>
      <x:c r="G52" s="53" t="str">
        <x:v>Missing Stack became an empty required-card list.</x:v>
      </x:c>
      <x:c r="H52" s="53" t="str">
        <x:v>site/play.js</x:v>
      </x:c>
      <x:c r="I52" s="53" t="str">
        <x:v>stale-marker client regression</x:v>
      </x:c>
      <x:c r="J52" s="140" t="str">
        <x:v>3a6179a</x:v>
      </x:c>
      <x:c r="K52" s="53" t="str">
        <x:v>Verified</x:v>
      </x:c>
    </x:row>
    <x:row r="53" ht="26.399999618530273" hidden="0" customHeight="1">
      <x:c r="A53" s="53" t="str">
        <x:v>D-048</x:v>
      </x:c>
      <x:c r="B53" s="53" t="str">
        <x:v>Medium</x:v>
      </x:c>
      <x:c r="C53" s="53" t="str">
        <x:v>Gameplay UX</x:v>
      </x:c>
      <x:c r="D53" s="53" t="str">
        <x:v>Start remained clickable during asynchronous ownership verification</x:v>
      </x:c>
      <x:c r="E53" s="53" t="str">
        <x:v>Double-click Start on a marked Stack with delayed wallet snapshot.</x:v>
      </x:c>
      <x:c r="F53" s="53" t="str">
        <x:v>One verification and one game start occur.</x:v>
      </x:c>
      <x:c r="G53" s="53" t="str">
        <x:v>Two concurrent verification/start paths could run.</x:v>
      </x:c>
      <x:c r="H53" s="53" t="str">
        <x:v>site/play.js</x:v>
      </x:c>
      <x:c r="I53" s="53" t="str">
        <x:v>duplicate-start client regression</x:v>
      </x:c>
      <x:c r="J53" s="140" t="str">
        <x:v>0a006c5</x:v>
      </x:c>
      <x:c r="K53" s="53" t="str">
        <x:v>Verified</x:v>
      </x:c>
    </x:row>
    <x:row r="54" ht="15" hidden="0" customHeight="1">
      <x:c r="A54" s="53" t="str">
        <x:v>D-049</x:v>
      </x:c>
      <x:c r="B54" s="53" t="str">
        <x:v>Medium</x:v>
      </x:c>
      <x:c r="C54" s="53" t="str">
        <x:v>Gameplay UX</x:v>
      </x:c>
      <x:c r="D54" s="53" t="str">
        <x:v>Invalid deterministic seeds reached the engine</x:v>
      </x:c>
      <x:c r="E54" s="53" t="str">
        <x:v>Enter NaN, fractional, negative, or out-of-range seed and start.</x:v>
      </x:c>
      <x:c r="F54" s="53" t="str">
        <x:v>Stay in setup with a useful validation message.</x:v>
      </x:c>
      <x:c r="G54" s="53" t="str">
        <x:v>Number coercion admitted non-integer/unsafe seed values.</x:v>
      </x:c>
      <x:c r="H54" s="53" t="str">
        <x:v>site/play.js</x:v>
      </x:c>
      <x:c r="I54" s="53" t="str">
        <x:v>invalid-seed client regression</x:v>
      </x:c>
      <x:c r="J54" s="140" t="str">
        <x:v>84cac3f</x:v>
      </x:c>
      <x:c r="K54" s="53" t="str">
        <x:v>Verified</x:v>
      </x:c>
    </x:row>
    <x:row r="55" ht="26.399999618530273" hidden="0" customHeight="1">
      <x:c r="A55" s="53" t="str">
        <x:v>D-050</x:v>
      </x:c>
      <x:c r="B55" s="53" t="str">
        <x:v>High</x:v>
      </x:c>
      <x:c r="C55" s="53" t="str">
        <x:v>Online gameplay</x:v>
      </x:c>
      <x:c r="D55" s="53" t="str">
        <x:v>Catalog mismatch warned but still sent actions</x:v>
      </x:c>
      <x:c r="E55" s="53" t="str">
        <x:v>Receive a referee state with a different catalog digest and click an action.</x:v>
      </x:c>
      <x:c r="F55" s="53" t="str">
        <x:v>Block play until a matching client build is loaded.</x:v>
      </x:c>
      <x:c r="G55" s="53" t="str">
        <x:v>Mismatch banner was advisory only.</x:v>
      </x:c>
      <x:c r="H55" s="53" t="str">
        <x:v>site/play.js</x:v>
      </x:c>
      <x:c r="I55" s="53" t="str">
        <x:v>catalog-mismatch dispatch regression</x:v>
      </x:c>
      <x:c r="J55" s="140" t="str">
        <x:v>77a4808</x:v>
      </x:c>
      <x:c r="K55" s="53" t="str">
        <x:v>Verified</x:v>
      </x:c>
    </x:row>
    <x:row r="56" ht="15" hidden="0" customHeight="1">
      <x:c r="A56" s="53" t="str">
        <x:v>D-051</x:v>
      </x:c>
      <x:c r="B56" s="53" t="str">
        <x:v>Medium</x:v>
      </x:c>
      <x:c r="C56" s="53" t="str">
        <x:v>Matchmaking</x:v>
      </x:c>
      <x:c r="D56" s="53" t="str">
        <x:v>Expired NIP-40 invites remained joinable</x:v>
      </x:c>
      <x:c r="E56" s="53" t="str">
        <x:v>Load a valid signed invite whose expiration is in the past.</x:v>
      </x:c>
      <x:c r="F56" s="53" t="str">
        <x:v>Discard it before rendering Join.</x:v>
      </x:c>
      <x:c r="G56" s="53" t="str">
        <x:v>Parser checked recency but ignored the expiration tag.</x:v>
      </x:c>
      <x:c r="H56" s="53" t="str">
        <x:v>site/net.js</x:v>
      </x:c>
      <x:c r="I56" s="53" t="str">
        <x:v>expired-invite parser regression</x:v>
      </x:c>
      <x:c r="J56" s="140" t="str">
        <x:v>20e4a90</x:v>
      </x:c>
      <x:c r="K56" s="53" t="str">
        <x:v>Verified</x:v>
      </x:c>
    </x:row>
    <x:row r="57" ht="26.399999618530273" hidden="0" customHeight="1">
      <x:c r="A57" s="53" t="str">
        <x:v>D-052</x:v>
      </x:c>
      <x:c r="B57" s="53" t="str">
        <x:v>Medium</x:v>
      </x:c>
      <x:c r="C57" s="53" t="str">
        <x:v>Matchmaking UX</x:v>
      </x:c>
      <x:c r="D57" s="53" t="str">
        <x:v>Signed invite terms were incomplete or silently downgraded</x:v>
      </x:c>
      <x:c r="E57" s="53" t="str">
        <x:v>Publish a staked challenge, mistype recipient npub, or join the relay row.</x:v>
      </x:c>
      <x:c r="F57" s="53" t="str">
        <x:v>Stake is signed/displayed/acknowledged and invalid recipient input blocks publish.</x:v>
      </x:c>
      <x:c r="G57" s="53" t="str">
        <x:v>Stake was omitted and invalid npub became an open invite.</x:v>
      </x:c>
      <x:c r="H57" s="53" t="str">
        <x:v>site/matchmaking.js</x:v>
      </x:c>
      <x:c r="I57" s="53" t="str">
        <x:v>challenge terms and acknowledgement regressions</x:v>
      </x:c>
      <x:c r="J57" s="140" t="str">
        <x:v>b356633</x:v>
      </x:c>
      <x:c r="K57" s="53" t="str">
        <x:v>Verified</x:v>
      </x:c>
    </x:row>
    <x:row r="58" ht="26.399999618530273" hidden="0" customHeight="1">
      <x:c r="A58" s="53" t="str">
        <x:v>D-053</x:v>
      </x:c>
      <x:c r="B58" s="53" t="str">
        <x:v>High</x:v>
      </x:c>
      <x:c r="C58" s="53" t="str">
        <x:v>Gameplay ownership</x:v>
      </x:c>
      <x:c r="D58" s="53" t="str">
        <x:v>Basic Resources incorrectly required NutFT proofs</x:v>
      </x:c>
      <x:c r="E58" s="53" t="str">
        <x:v>Start a legal OG Stack containing free Basic Resources without Basic proofs.</x:v>
      </x:c>
      <x:c r="F58" s="53" t="str">
        <x:v>Verify only non-Basic cards and start.</x:v>
      </x:c>
      <x:c r="G58" s="53" t="str">
        <x:v>Play ownership check disagreed with the builder rule.</x:v>
      </x:c>
      <x:c r="H58" s="53" t="str">
        <x:v>site/play.js</x:v>
      </x:c>
      <x:c r="I58" s="53" t="str">
        <x:v>Basic-exemption possession regression</x:v>
      </x:c>
      <x:c r="J58" s="140" t="str">
        <x:v>3b3eb0c</x:v>
      </x:c>
      <x:c r="K58" s="53" t="str">
        <x:v>Verified</x:v>
      </x:c>
    </x:row>
    <x:row r="59" ht="26.399999618530273" hidden="0" customHeight="1">
      <x:c r="A59" s="53" t="str">
        <x:v>D-054</x:v>
      </x:c>
      <x:c r="B59" s="53" t="str">
        <x:v>Medium</x:v>
      </x:c>
      <x:c r="C59" s="53" t="str">
        <x:v>Stack Builder UX</x:v>
      </x:c>
      <x:c r="D59" s="53" t="str">
        <x:v>Persisted OG mode reverted during wallet verification</x:v>
      </x:c>
      <x:c r="E59" s="53" t="str">
        <x:v>Save OG mode, reload with valid proofs, and wait for snapshot.</x:v>
      </x:c>
      <x:c r="F59" s="53" t="str">
        <x:v>OG mode restores after verification.</x:v>
      </x:c>
      <x:c r="G59" s="53" t="str">
        <x:v>Initial null verification forced Freestyle and never restored preference.</x:v>
      </x:c>
      <x:c r="H59" s="53" t="str">
        <x:v>site/deck.html</x:v>
      </x:c>
      <x:c r="I59" s="53" t="str">
        <x:v>OG-mode restoration structure regression</x:v>
      </x:c>
      <x:c r="J59" s="140" t="str">
        <x:v>3b52317</x:v>
      </x:c>
      <x:c r="K59" s="53" t="str">
        <x:v>Verified</x:v>
      </x:c>
    </x:row>
    <x:row r="60" ht="26.399999618530273" hidden="0" customHeight="1">
      <x:c r="A60" s="53" t="str">
        <x:v>D-055</x:v>
      </x:c>
      <x:c r="B60" s="53" t="str">
        <x:v>Medium</x:v>
      </x:c>
      <x:c r="C60" s="53" t="str">
        <x:v>Stack Builder</x:v>
      </x:c>
      <x:c r="D60" s="53" t="str">
        <x:v>Imported Stake-module cards could be saved</x:v>
      </x:c>
      <x:c r="E60" s="53" t="str">
        <x:v>Import known Stake card IDs through a handoff and Save.</x:v>
      </x:c>
      <x:c r="F60" s="53" t="str">
        <x:v>Reject them in the builder with the same legality rule as manual selection.</x:v>
      </x:c>
      <x:c r="G60" s="53" t="str">
        <x:v>Import filtered unknown IDs but not known excluded cards.</x:v>
      </x:c>
      <x:c r="H60" s="53" t="str">
        <x:v>site/deck.html</x:v>
      </x:c>
      <x:c r="I60" s="53" t="str">
        <x:v>Stake-import structure regression</x:v>
      </x:c>
      <x:c r="J60" s="140" t="str">
        <x:v>8404670</x:v>
      </x:c>
      <x:c r="K60" s="53" t="str">
        <x:v>Verified</x:v>
      </x:c>
    </x:row>
    <x:row r="61" ht="26.399999618530273" hidden="0" customHeight="1">
      <x:c r="A61" s="53" t="str">
        <x:v>D-056</x:v>
      </x:c>
      <x:c r="B61" s="53" t="str">
        <x:v>Medium</x:v>
      </x:c>
      <x:c r="C61" s="53" t="str">
        <x:v>Nostr UX</x:v>
      </x:c>
      <x:c r="D61" s="53" t="str">
        <x:v>Declined start signature was not retryable</x:v>
      </x:c>
      <x:c r="E61" s="53" t="str">
        <x:v>Decline the NIP-07 start signature once, reload or receive state again.</x:v>
      </x:c>
      <x:c r="F61" s="53" t="str">
        <x:v>Keep the announcement pending and preserve its agreed stake.</x:v>
      </x:c>
      <x:c r="G61" s="53" t="str">
        <x:v>Match was marked announced before signing completed.</x:v>
      </x:c>
      <x:c r="H61" s="53" t="str">
        <x:v>site/play.js</x:v>
      </x:c>
      <x:c r="I61" s="53" t="str">
        <x:v>declined-signature retry regression</x:v>
      </x:c>
      <x:c r="J61" s="140" t="str">
        <x:v>ba5b36f</x:v>
      </x:c>
      <x:c r="K61" s="53" t="str">
        <x:v>Verified</x:v>
      </x:c>
    </x:row>
    <x:row r="62" ht="15" hidden="0" customHeight="1">
      <x:c r="A62" s="53" t="str">
        <x:v>D-057</x:v>
      </x:c>
      <x:c r="B62" s="53" t="str">
        <x:v>Critical</x:v>
      </x:c>
      <x:c r="C62" s="53" t="str">
        <x:v>Paid mint</x:v>
      </x:c>
      <x:c r="D62" s="53" t="str">
        <x:v>Concurrent paid checkouts could reserve the same next pack</x:v>
      </x:c>
      <x:c r="E62" s="53" t="str">
        <x:v>Create two unsettled quotes against the same supply head.</x:v>
      </x:c>
      <x:c r="F62" s="53" t="str">
        <x:v>One active invoice reserves that pack until settlement or expiry.</x:v>
      </x:c>
      <x:c r="G62" s="53" t="str">
        <x:v>Both buyers could pay for the same deterministic next pack.</x:v>
      </x:c>
      <x:c r="H62" s="53" t="str">
        <x:v>server/nutft-mint.js</x:v>
      </x:c>
      <x:c r="I62" s="53" t="str">
        <x:v>active-invoice reservation regression</x:v>
      </x:c>
      <x:c r="J62" s="140" t="str">
        <x:v>6fa352b</x:v>
      </x:c>
      <x:c r="K62" s="53" t="str">
        <x:v>Verified</x:v>
      </x:c>
    </x:row>
    <x:row r="63" ht="26.399999618530273" hidden="0" customHeight="1">
      <x:c r="A63" s="53" t="str">
        <x:v>D-058</x:v>
      </x:c>
      <x:c r="B63" s="53" t="str">
        <x:v>Critical</x:v>
      </x:c>
      <x:c r="C63" s="53" t="str">
        <x:v>LNURL paid mint</x:v>
      </x:c>
      <x:c r="D63" s="53" t="str">
        <x:v>LNURL success link could not claim its invoice</x:v>
      </x:c>
      <x:c r="E63" s="53" t="str">
        <x:v>Pay through LNURL-P and follow the success-action URL.</x:v>
      </x:c>
      <x:c r="F63" s="53" t="str">
        <x:v>Claim the same payment hash once; sealed contents stay hidden until paid/revealable.</x:v>
      </x:c>
      <x:c r="G63" s="53" t="str">
        <x:v>Shop ignored claim= and started a fresh purchase.</x:v>
      </x:c>
      <x:c r="H63" s="53" t="str">
        <x:v>server/nutft-mint.js; site/nutft-wallet.js; site/shop.js</x:v>
      </x:c>
      <x:c r="I63" s="53" t="str">
        <x:v>LNURL success-link claim regressions</x:v>
      </x:c>
      <x:c r="J63" s="140" t="str">
        <x:v>948ba05</x:v>
      </x:c>
      <x:c r="K63" s="53" t="str">
        <x:v>Verified</x:v>
      </x:c>
    </x:row>
    <x:row r="64" ht="26.399999618530273" hidden="0" customHeight="1">
      <x:c r="A64" s="53" t="str">
        <x:v>D-059</x:v>
      </x:c>
      <x:c r="B64" s="53" t="str">
        <x:v>Medium</x:v>
      </x:c>
      <x:c r="C64" s="53" t="str">
        <x:v>Build logistics</x:v>
      </x:c>
      <x:c r="D64" s="53" t="str">
        <x:v>Card render scripts assumed host-specific fonts</x:v>
      </x:c>
      <x:c r="E64" s="53" t="str">
        <x:v>Run the Python repository suite on a host without the original Arial paths.</x:v>
      </x:c>
      <x:c r="F64" s="53" t="str">
        <x:v>Resolve an installed compatible font or report a clear missing dependency.</x:v>
      </x:c>
      <x:c r="G64" s="53" t="str">
        <x:v>Two rendering checks failed before reaching their assertions.</x:v>
      </x:c>
      <x:c r="H64" s="53" t="str">
        <x:v>scripts/build_cards.py; scripts/render_card_pngs.py</x:v>
      </x:c>
      <x:c r="I64" s="53" t="str">
        <x:v>Python card-render checks</x:v>
      </x:c>
      <x:c r="J64" s="140" t="str">
        <x:v>1b02e68</x:v>
      </x:c>
      <x:c r="K64" s="53" t="str">
        <x:v>Verified</x:v>
      </x:c>
    </x:row>
  </x:sheetData>
  <x:mergeCells>
    <x:mergeCell ref="A1:K1"/>
    <x:mergeCell ref="A2:K2"/>
  </x:mergeCells>
  <x:conditionalFormatting sqref="K6:K45">
    <x:cfRule type="containsText" dxfId="8" priority="1" operator="containsText" text="Pass"/>
    <x:cfRule type="containsText" dxfId="9" priority="2" operator="containsText" text="Fail"/>
    <x:cfRule type="containsText" dxfId="10" priority="3" operator="containsText" text="Blocked"/>
    <x:cfRule type="containsText" dxfId="11" priority="4" operator="containsText" text="Not Run"/>
  </x:conditionalFormatting>
  <x:conditionalFormatting sqref="B6:B45">
    <x:cfRule type="containsText" dxfId="12" priority="5" operator="containsText" text="Critical"/>
    <x:cfRule type="containsText" dxfId="13" priority="6" operator="containsText" text="High"/>
  </x:conditionalFormatting>
  <x:dataValidations count="2">
    <x:dataValidation type="list" sqref="B6:B45">
      <x:formula1>"Critical,High,Medium,Low"</x:formula1>
    </x:dataValidation>
    <x:dataValidation type="list" sqref="K6:K45">
      <x:formula1>"Open,In Progress,Fixed,Verified,Triaged,Won't Fix"</x:formula1>
    </x:dataValidation>
  </x:dataValidations>
  <x:pageMargins left="0.7" right="0.7" top="0.75" bottom="0.75" header="0.3" footer="0.3"/>
  <x:tableParts count="1">
    <x:tablePart xmlns:r="http://schemas.openxmlformats.org/officeDocument/2006/relationships" r:id="R330a4466c7ac4b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0" hidden="0" customWidth="1"/>
    <x:col min="4" max="4" width="58" hidden="0" customWidth="1"/>
    <x:col min="5" max="5" width="14" hidden="0" customWidth="1"/>
    <x:col min="6" max="6" width="10" hidden="0" customWidth="1"/>
    <x:col min="7" max="7" width="10" hidden="0" customWidth="1"/>
    <x:col min="8" max="8" width="10" hidden="0" customWidth="1"/>
    <x:col min="9" max="9" width="55" hidden="0" customWidth="1"/>
    <x:col min="10" max="10" width="52" hidden="0" customWidth="1"/>
  </x:cols>
  <x:sheetData>
    <x:row r="1" ht="15" hidden="0" customHeight="1">
      <x:c r="A1" s="65" t="str">
        <x:v>Test runs</x:v>
      </x:c>
      <x:c r="B1" s="66"/>
      <x:c r="C1" s="66"/>
      <x:c r="D1" s="66"/>
      <x:c r="E1" s="66"/>
      <x:c r="F1" s="66"/>
      <x:c r="G1" s="66"/>
      <x:c r="H1" s="66"/>
      <x:c r="I1" s="66"/>
      <x:c r="J1" s="66"/>
      <x:c r="K1" s="67"/>
      <x:c r="L1" s="67"/>
      <x:c r="M1" s="67"/>
      <x:c r="N1" s="67"/>
      <x:c r="O1" s="67"/>
      <x:c r="P1" s="67"/>
      <x:c r="Q1" s="67"/>
      <x:c r="R1" s="67"/>
      <x:c r="S1" s="67"/>
      <x:c r="T1" s="67"/>
      <x:c r="U1" s="67"/>
      <x:c r="V1" s="67"/>
      <x:c r="W1" s="67"/>
      <x:c r="X1" s="67"/>
      <x:c r="Y1" s="67"/>
      <x:c r="Z1" s="67"/>
    </x:row>
    <x:row r="2" ht="15" hidden="0" customHeight="1">
      <x:c r="A2" s="68" t="str">
        <x:v>Immutable evidence log. A story status should cite one of these runs or a narrower reproducible check.</x:v>
      </x:c>
      <x:c r="B2" s="66"/>
      <x:c r="C2" s="66"/>
      <x:c r="D2" s="66"/>
      <x:c r="E2" s="66"/>
      <x:c r="F2" s="66"/>
      <x:c r="G2" s="66"/>
      <x:c r="H2" s="66"/>
      <x:c r="I2" s="66"/>
      <x:c r="J2" s="66"/>
      <x:c r="K2" s="67"/>
      <x:c r="L2" s="67"/>
      <x:c r="M2" s="67"/>
      <x:c r="N2" s="67"/>
      <x:c r="O2" s="67"/>
      <x:c r="P2" s="67"/>
      <x:c r="Q2" s="67"/>
      <x:c r="R2" s="67"/>
      <x:c r="S2" s="67"/>
      <x:c r="T2" s="67"/>
      <x:c r="U2" s="67"/>
      <x:c r="V2" s="67"/>
      <x:c r="W2" s="67"/>
      <x:c r="X2" s="67"/>
      <x:c r="Y2" s="67"/>
      <x:c r="Z2" s="67"/>
    </x:row>
    <x:row r="3" ht="15" hidden="0" customHeight="1">
      <x:c r="A3" s="58"/>
      <x:c r="B3" s="58"/>
      <x:c r="C3" s="58"/>
      <x:c r="D3" s="58"/>
      <x:c r="E3" s="58"/>
      <x:c r="F3" s="58"/>
      <x:c r="G3" s="58"/>
      <x:c r="H3" s="58"/>
      <x:c r="I3" s="58"/>
      <x:c r="J3" s="58"/>
    </x:row>
    <x:row r="4" ht="15" hidden="0" customHeight="1">
      <x:c r="A4" s="58"/>
      <x:c r="B4" s="58"/>
      <x:c r="C4" s="58"/>
      <x:c r="D4" s="58"/>
      <x:c r="E4" s="58"/>
      <x:c r="F4" s="58"/>
      <x:c r="G4" s="58"/>
      <x:c r="H4" s="58"/>
      <x:c r="I4" s="58"/>
      <x:c r="J4" s="58"/>
    </x:row>
    <x:row r="5" ht="15" hidden="0" customHeight="1">
      <x:c r="A5" s="60" t="str">
        <x:v>Run ID</x:v>
      </x:c>
      <x:c r="B5" s="61" t="str">
        <x:v>Timestamp</x:v>
      </x:c>
      <x:c r="C5" s="61" t="str">
        <x:v>Scope</x:v>
      </x:c>
      <x:c r="D5" s="61" t="str">
        <x:v>Command / steps</x:v>
      </x:c>
      <x:c r="E5" s="61" t="str">
        <x:v>Result</x:v>
      </x:c>
      <x:c r="F5" s="61" t="str">
        <x:v>Pass</x:v>
      </x:c>
      <x:c r="G5" s="61" t="str">
        <x:v>Fail</x:v>
      </x:c>
      <x:c r="H5" s="61" t="str">
        <x:v>Blocked</x:v>
      </x:c>
      <x:c r="I5" s="61" t="str">
        <x:v>Evidence</x:v>
      </x:c>
      <x:c r="J5" s="62" t="str">
        <x:v>Notes</x:v>
      </x:c>
    </x:row>
    <x:row r="6" ht="15" hidden="0" customHeight="1">
      <x:c r="A6" s="63" t="str">
        <x:v>RUN-001</x:v>
      </x:c>
      <x:c r="B6" s="64" t="n">
        <x:v>46254.02847222222</x:v>
      </x:c>
      <x:c r="C6" s="63" t="str">
        <x:v>JavaScript suite</x:v>
      </x:c>
      <x:c r="D6" s="63" t="str">
        <x:v>npm run test:js</x:v>
      </x:c>
      <x:c r="E6" s="63" t="str">
        <x:v>Pass</x:v>
      </x:c>
      <x:c r="F6" s="125" t="n">
        <x:v>311</x:v>
      </x:c>
      <x:c r="G6" s="125" t="n">
        <x:v>0</x:v>
      </x:c>
      <x:c r="H6" s="125" t="n">
        <x:v>0</x:v>
      </x:c>
      <x:c r="I6" s="63" t="str">
        <x:v>311 tests passed in 19.7s</x:v>
      </x:c>
      <x:c r="J6" s="63" t="str">
        <x:v>Does not execute wallet page reload</x:v>
      </x:c>
    </x:row>
    <x:row r="7" ht="15" hidden="0" customHeight="1">
      <x:c r="A7" s="63" t="str">
        <x:v>RUN-002</x:v>
      </x:c>
      <x:c r="B7" s="64" t="n">
        <x:v>46254.02847222222</x:v>
      </x:c>
      <x:c r="C7" s="63" t="str">
        <x:v>Python repository suite</x:v>
      </x:c>
      <x:c r="D7" s="63" t="str">
        <x:v>uv run --frozen pytest -q</x:v>
      </x:c>
      <x:c r="E7" s="63" t="str">
        <x:v>Fail</x:v>
      </x:c>
      <x:c r="F7" s="125" t="n">
        <x:v>101</x:v>
      </x:c>
      <x:c r="G7" s="125" t="n">
        <x:v>7</x:v>
      </x:c>
      <x:c r="H7" s="125" t="n">
        <x:v>0</x:v>
      </x:c>
      <x:c r="I7" s="63" t="str">
        <x:v>7 failed, 101 passed</x:v>
      </x:c>
      <x:c r="J7" s="63" t="str">
        <x:v>D-012 is PR regression; D-018 groups six pre-existing fixture/font failures</x:v>
      </x:c>
    </x:row>
    <x:row r="8" ht="15" hidden="0" customHeight="1">
      <x:c r="A8" s="63" t="str">
        <x:v>RUN-003</x:v>
      </x:c>
      <x:c r="B8" s="64" t="n">
        <x:v>46254.02847222222</x:v>
      </x:c>
      <x:c r="C8" s="63" t="str">
        <x:v>14-page browser route baseline</x:v>
      </x:c>
      <x:c r="D8" s="63" t="str">
        <x:v>Headless Chromium; open every site/*.html surface</x:v>
      </x:c>
      <x:c r="E8" s="63" t="str">
        <x:v>Pass</x:v>
      </x:c>
      <x:c r="F8" s="125" t="n">
        <x:v>14</x:v>
      </x:c>
      <x:c r="G8" s="125" t="n">
        <x:v>0</x:v>
      </x:c>
      <x:c r="H8" s="125" t="n">
        <x:v>0</x:v>
      </x:c>
      <x:c r="I8" s="63" t="str">
        <x:v>All routes HTTP 200 with headings/titles</x:v>
      </x:c>
      <x:c r="J8" s="63" t="str">
        <x:v>play.html logged unidentified 404 (D-017)</x:v>
      </x:c>
    </x:row>
    <x:row r="9" ht="15" hidden="0" customHeight="1">
      <x:c r="A9" s="63" t="str">
        <x:v>RUN-004</x:v>
      </x:c>
      <x:c r="B9" s="64" t="n">
        <x:v>46254.02847222222</x:v>
      </x:c>
      <x:c r="C9" s="63" t="str">
        <x:v>NutFT purchase→wallet reload</x:v>
      </x:c>
      <x:c r="D9" s="63" t="str">
        <x:v>Buy /shop.html?shop=mint booster; inspect localStorage; open /wallet.html</x:v>
      </x:c>
      <x:c r="E9" s="63" t="str">
        <x:v>Fail</x:v>
      </x:c>
      <x:c r="F9" s="125" t="n">
        <x:v>1</x:v>
      </x:c>
      <x:c r="G9" s="125" t="n">
        <x:v>1</x:v>
      </x:c>
      <x:c r="H9" s="125" t="n">
        <x:v>0</x:v>
      </x:c>
      <x:c r="I9" s="63" t="str">
        <x:v>Purchase stored 4,945-byte Cashu token; wallet showed keyset error</x:v>
      </x:c>
      <x:c r="J9" s="63" t="str">
        <x:v>D-001</x:v>
      </x:c>
    </x:row>
    <x:row r="10" ht="32.400001525878906" hidden="0" customHeight="1">
      <x:c r="A10" s="63" t="str">
        <x:v>RUN-005</x:v>
      </x:c>
      <x:c r="B10" s="64" t="n">
        <x:v>46254.02847222222</x:v>
      </x:c>
      <x:c r="C10" s="63" t="str">
        <x:v>Focused NutFT protocol and wallet suite</x:v>
      </x:c>
      <x:c r="D10" s="63" t="str">
        <x:v>node --test tests/js/nutft.test.mjs</x:v>
      </x:c>
      <x:c r="E10" s="63" t="str">
        <x:v>Pass</x:v>
      </x:c>
      <x:c r="F10" s="125" t="n">
        <x:v>5</x:v>
      </x:c>
      <x:c r="G10" s="125" t="n">
        <x:v>0</x:v>
      </x:c>
      <x:c r="H10" s="125" t="n">
        <x:v>0</x:v>
      </x:c>
      <x:c r="I10" s="63" t="str">
        <x:v>Output openings, URI/config validation, two-wallet transfer/import, backup/restore, lost-response recovery, restart persistence, DLEQ, P2BK, binding, checkstate, swap/melt rejection</x:v>
      </x:c>
      <x:c r="J10" s="63" t="str">
        <x:v>Final branch</x:v>
      </x:c>
    </x:row>
    <x:row r="11" ht="15" hidden="0" customHeight="1">
      <x:c r="A11" s="63" t="str">
        <x:v>RUN-006</x:v>
      </x:c>
      <x:c r="B11" s="64" t="n">
        <x:v>46254.02847222222</x:v>
      </x:c>
      <x:c r="C11" s="63" t="str">
        <x:v>Complete JavaScript suite</x:v>
      </x:c>
      <x:c r="D11" s="63" t="str">
        <x:v>npm run test:js</x:v>
      </x:c>
      <x:c r="E11" s="63" t="str">
        <x:v>Pass</x:v>
      </x:c>
      <x:c r="F11" s="125" t="n">
        <x:v>316</x:v>
      </x:c>
      <x:c r="G11" s="125" t="n">
        <x:v>0</x:v>
      </x:c>
      <x:c r="H11" s="125" t="n">
        <x:v>0</x:v>
      </x:c>
      <x:c r="I11" s="63" t="str">
        <x:v>316 tests passed</x:v>
      </x:c>
      <x:c r="J11" s="63" t="str">
        <x:v>Engine, client, transport, online play, ladder, Cashu/NutFT, card waves, QR, and crypto</x:v>
      </x:c>
    </x:row>
    <x:row r="12" ht="15" hidden="0" customHeight="1">
      <x:c r="A12" s="63" t="str">
        <x:v>RUN-007</x:v>
      </x:c>
      <x:c r="B12" s="64" t="n">
        <x:v>46254.02847222222</x:v>
      </x:c>
      <x:c r="C12" s="63" t="str">
        <x:v>Complete Python repository suite</x:v>
      </x:c>
      <x:c r="D12" s="63" t="str">
        <x:v>uv run --frozen pytest -q</x:v>
      </x:c>
      <x:c r="E12" s="63" t="str">
        <x:v>Fail</x:v>
      </x:c>
      <x:c r="F12" s="125" t="n">
        <x:v>102</x:v>
      </x:c>
      <x:c r="G12" s="125" t="n">
        <x:v>6</x:v>
      </x:c>
      <x:c r="H12" s="125" t="n">
        <x:v>0</x:v>
      </x:c>
      <x:c r="I12" s="63" t="str">
        <x:v>102 passed; six failures require absent historical art manifests or host-specific Arial metrics</x:v>
      </x:c>
      <x:c r="J12" s="63" t="str">
        <x:v>D-018 only; no NutFT/runtime failure</x:v>
      </x:c>
    </x:row>
    <x:row r="13" ht="21.600000381469727" hidden="0" customHeight="1">
      <x:c r="A13" s="63" t="str">
        <x:v>RUN-008</x:v>
      </x:c>
      <x:c r="B13" s="64" t="n">
        <x:v>46254.02847222222</x:v>
      </x:c>
      <x:c r="C13" s="63" t="str">
        <x:v>Final browser route matrix</x:v>
      </x:c>
      <x:c r="D13" s="63" t="str">
        <x:v>Headless Chromium; 14 primary routes on fresh table server</x:v>
      </x:c>
      <x:c r="E13" s="63" t="str">
        <x:v>Pass</x:v>
      </x:c>
      <x:c r="F13" s="125" t="n">
        <x:v>14</x:v>
      </x:c>
      <x:c r="G13" s="125" t="n">
        <x:v>0</x:v>
      </x:c>
      <x:c r="H13" s="125" t="n">
        <x:v>0</x:v>
      </x:c>
      <x:c r="I13" s="63" t="str">
        <x:v>Every route returned HTTP 200; no same-origin console/page/network error; favicon 404 removed</x:v>
      </x:c>
      <x:c r="J13" s="63" t="str">
        <x:v>External relay availability is non-authoritative</x:v>
      </x:c>
    </x:row>
    <x:row r="14" ht="21.600000381469727" hidden="0" customHeight="1">
      <x:c r="A14" s="63" t="str">
        <x:v>RUN-009</x:v>
      </x:c>
      <x:c r="B14" s="64" t="n">
        <x:v>46254.02847222222</x:v>
      </x:c>
      <x:c r="C14" s="63" t="str">
        <x:v>NutFT two-wallet browser E2E</x:v>
      </x:c>
      <x:c r="D14" s="63" t="str">
        <x:v>Mint booster; verify seven cards; download backup; transfer one card; import in second context; open deck builder</x:v>
      </x:c>
      <x:c r="E14" s="63" t="str">
        <x:v>Pass</x:v>
      </x:c>
      <x:c r="F14" s="125" t="n">
        <x:v>6</x:v>
      </x:c>
      <x:c r="G14" s="125" t="n">
        <x:v>0</x:v>
      </x:c>
      <x:c r="H14" s="125" t="n">
        <x:v>0</x:v>
      </x:c>
      <x:c r="I14" s="63" t="str">
        <x:v>7 minted; sender 6; recipient 1; DLEQ/P2BK/Blossom checks visible; deck shows six owned cards</x:v>
      </x:c>
      <x:c r="J14" s="63" t="str">
        <x:v>Screenshots and report in dev-browser tmp/nutft-final</x:v>
      </x:c>
    </x:row>
    <x:row r="15" ht="21.600000381469727" hidden="0" customHeight="1">
      <x:c r="A15" s="63" t="str">
        <x:v>RUN-010</x:v>
      </x:c>
      <x:c r="B15" s="64" t="n">
        <x:v>46254.02847222222</x:v>
      </x:c>
      <x:c r="C15" s="63" t="str">
        <x:v>Platform interaction and mobile matrix</x:v>
      </x:c>
      <x:c r="D15" s="63" t="str">
        <x:v>Browser keyboard/search/filter/dialog/deck/shop/play/rules/FX flows plus eight routes at 390×844</x:v>
      </x:c>
      <x:c r="E15" s="63" t="str">
        <x:v>Pass</x:v>
      </x:c>
      <x:c r="F15" s="125" t="n">
        <x:v>17</x:v>
      </x:c>
      <x:c r="G15" s="125" t="n">
        <x:v>0</x:v>
      </x:c>
      <x:c r="H15" s="125" t="n">
        <x:v>0</x:v>
      </x:c>
      <x:c r="I15" s="63" t="str">
        <x:v>296-card gallery, legal 40-card save/reload, free pack persistence/verification/handoff, seeded NPC match, rules/FX, no horizontal overflow</x:v>
      </x:c>
      <x:c r="J15" s="63" t="str">
        <x:v>Online/action state machines covered by RUN-006</x:v>
      </x:c>
    </x:row>
    <x:row r="16" ht="15" hidden="0" customHeight="1">
      <x:c r="A16" s="53" t="str">
        <x:v>RUN-011</x:v>
      </x:c>
      <x:c r="B16" s="54" t="n">
        <x:v>46254.5</x:v>
      </x:c>
      <x:c r="C16" s="53" t="str">
        <x:v>Baseline JavaScript suite at 04dc857</x:v>
      </x:c>
      <x:c r="D16" s="53" t="str">
        <x:v>npm run test:js</x:v>
      </x:c>
      <x:c r="E16" s="53" t="str">
        <x:v>Pass</x:v>
      </x:c>
      <x:c r="F16" s="53" t="n">
        <x:v>339</x:v>
      </x:c>
      <x:c r="G16" s="53" t="n">
        <x:v>0</x:v>
      </x:c>
      <x:c r="H16" s="53" t="n">
        <x:v>0</x:v>
      </x:c>
      <x:c r="I16" s="53" t="str">
        <x:v>339/339 passed</x:v>
      </x:c>
      <x:c r="J16" s="53" t="str">
        <x:v>Established executable pre-fix baseline.</x:v>
      </x:c>
    </x:row>
    <x:row r="17" ht="26.399999618530273" hidden="0" customHeight="1">
      <x:c r="A17" s="53" t="str">
        <x:v>RUN-012</x:v>
      </x:c>
      <x:c r="B17" s="54" t="n">
        <x:v>46254.5</x:v>
      </x:c>
      <x:c r="C17" s="53" t="str">
        <x:v>Baseline Python repository suite at 04dc857</x:v>
      </x:c>
      <x:c r="D17" s="53" t="str">
        <x:v>uv run --frozen pytest -q</x:v>
      </x:c>
      <x:c r="E17" s="53" t="str">
        <x:v>Fail</x:v>
      </x:c>
      <x:c r="F17" s="53" t="n">
        <x:v>102</x:v>
      </x:c>
      <x:c r="G17" s="53" t="n">
        <x:v>6</x:v>
      </x:c>
      <x:c r="H17" s="53" t="n">
        <x:v>0</x:v>
      </x:c>
      <x:c r="I17" s="53" t="str">
        <x:v>102 passed; six art/font environment failures</x:v>
      </x:c>
      <x:c r="J17" s="53" t="str">
        <x:v>App paths passed; D-018 and D-059 separated.</x:v>
      </x:c>
    </x:row>
    <x:row r="18" ht="15" hidden="0" customHeight="1">
      <x:c r="A18" s="53" t="str">
        <x:v>RUN-013</x:v>
      </x:c>
      <x:c r="B18" s="54" t="n">
        <x:v>46254.5</x:v>
      </x:c>
      <x:c r="C18" s="53" t="str">
        <x:v>Baseline browser and mobile matrix</x:v>
      </x:c>
      <x:c r="D18" s="53" t="str">
        <x:v>15 routes + searches + local start + 390×844 overflow checks</x:v>
      </x:c>
      <x:c r="E18" s="53" t="str">
        <x:v>Fail</x:v>
      </x:c>
      <x:c r="F18" s="53" t="n">
        <x:v>26</x:v>
      </x:c>
      <x:c r="G18" s="53" t="n">
        <x:v>1</x:v>
      </x:c>
      <x:c r="H18" s="53" t="n">
        <x:v>0</x:v>
      </x:c>
      <x:c r="I18" s="53" t="str">
        <x:v>Routes/mobile passed; “classic burn” search returned zero chapters</x:v>
      </x:c>
      <x:c r="J18" s="53" t="str">
        <x:v>D-041 reproduced.</x:v>
      </x:c>
    </x:row>
    <x:row r="19" ht="15" hidden="0" customHeight="1">
      <x:c r="A19" s="53" t="str">
        <x:v>RUN-014</x:v>
      </x:c>
      <x:c r="B19" s="54" t="n">
        <x:v>46254.5</x:v>
      </x:c>
      <x:c r="C19" s="53" t="str">
        <x:v>Focused TDD regression loop</x:v>
      </x:c>
      <x:c r="D19" s="53" t="str">
        <x:v>Run each new failing check before and after its atomic fix</x:v>
      </x:c>
      <x:c r="E19" s="53" t="str">
        <x:v>Pass</x:v>
      </x:c>
      <x:c r="F19" s="53" t="n">
        <x:v>19</x:v>
      </x:c>
      <x:c r="G19" s="53" t="n">
        <x:v>0</x:v>
      </x:c>
      <x:c r="H19" s="53" t="n">
        <x:v>0</x:v>
      </x:c>
      <x:c r="I19" s="53" t="str">
        <x:v>D-041 through D-059 verified at their fix commits</x:v>
      </x:c>
      <x:c r="J19" s="53" t="str">
        <x:v>Every nontrivial fix retained one focused check.</x:v>
      </x:c>
    </x:row>
    <x:row r="20" ht="15" hidden="0" customHeight="1">
      <x:c r="A20" s="53" t="str">
        <x:v>RUN-015</x:v>
      </x:c>
      <x:c r="B20" s="54" t="n">
        <x:v>46254.5</x:v>
      </x:c>
      <x:c r="C20" s="53" t="str">
        <x:v>Final JavaScript suite</x:v>
      </x:c>
      <x:c r="D20" s="53" t="str">
        <x:v>npm run test:js</x:v>
      </x:c>
      <x:c r="E20" s="53" t="str">
        <x:v>Pass</x:v>
      </x:c>
      <x:c r="F20" s="53" t="n">
        <x:v>351</x:v>
      </x:c>
      <x:c r="G20" s="53" t="n">
        <x:v>0</x:v>
      </x:c>
      <x:c r="H20" s="53" t="n">
        <x:v>0</x:v>
      </x:c>
      <x:c r="I20" s="53" t="str">
        <x:v>351/351 passed in about 31 seconds</x:v>
      </x:c>
      <x:c r="J20" s="53" t="str">
        <x:v>Engine, UI clients, multiplayer, NutFT, wallet, mint and protocol.</x:v>
      </x:c>
    </x:row>
    <x:row r="21" ht="26.399999618530273" hidden="0" customHeight="1">
      <x:c r="A21" s="53" t="str">
        <x:v>RUN-016</x:v>
      </x:c>
      <x:c r="B21" s="54" t="n">
        <x:v>46254.5</x:v>
      </x:c>
      <x:c r="C21" s="53" t="str">
        <x:v>Final Python repository suite</x:v>
      </x:c>
      <x:c r="D21" s="53" t="str">
        <x:v>uv run --frozen pytest -q</x:v>
      </x:c>
      <x:c r="E21" s="53" t="str">
        <x:v>Blocked</x:v>
      </x:c>
      <x:c r="F21" s="53" t="n">
        <x:v>109</x:v>
      </x:c>
      <x:c r="G21" s="53" t="n">
        <x:v>0</x:v>
      </x:c>
      <x:c r="H21" s="53" t="n">
        <x:v>4</x:v>
      </x:c>
      <x:c r="I21" s="53" t="str">
        <x:v>109 passed; four checks require two absent historical art manifests</x:v>
      </x:c>
      <x:c r="J21" s="53" t="str">
        <x:v>Missing join-detailed-front and prompts-v2-final-1920x2400 manifests; no runtime app failure.</x:v>
      </x:c>
    </x:row>
    <x:row r="22" ht="26.399999618530273" hidden="0" customHeight="1">
      <x:c r="A22" s="53" t="str">
        <x:v>RUN-017</x:v>
      </x:c>
      <x:c r="B22" s="54" t="n">
        <x:v>46254.5</x:v>
      </x:c>
      <x:c r="C22" s="53" t="str">
        <x:v>Final browser and mobile matrix</x:v>
      </x:c>
      <x:c r="D22" s="53" t="str">
        <x:v>Headless Chrome: 15 routes, Rules/gallery/local interactions, nine routes at 390×844</x:v>
      </x:c>
      <x:c r="E22" s="53" t="str">
        <x:v>Pass</x:v>
      </x:c>
      <x:c r="F22" s="53" t="n">
        <x:v>27</x:v>
      </x:c>
      <x:c r="G22" s="53" t="n">
        <x:v>0</x:v>
      </x:c>
      <x:c r="H22" s="53" t="n">
        <x:v>0</x:v>
      </x:c>
      <x:c r="I22" s="53" t="str">
        <x:v>All routes HTTP 200; Rules body-term search found chapters 12/24; no horizontal overflow</x:v>
      </x:c>
      <x:c r="J22" s="53" t="str">
        <x:v>No page or console failure in captured run.</x:v>
      </x:c>
    </x:row>
    <x:row r="23" ht="26.399999618530273" hidden="0" customHeight="1">
      <x:c r="A23" s="53" t="str">
        <x:v>RUN-018</x:v>
      </x:c>
      <x:c r="B23" s="54" t="n">
        <x:v>46254.5</x:v>
      </x:c>
      <x:c r="C23" s="53" t="str">
        <x:v>Final real two-client match</x:v>
      </x:c>
      <x:c r="D23" s="53" t="str">
        <x:v>Fresh referee + scripts/demo-two-clients.mjs</x:v>
      </x:c>
      <x:c r="E23" s="53" t="str">
        <x:v>Pass</x:v>
      </x:c>
      <x:c r="F23" s="53" t="n">
        <x:v>1</x:v>
      </x:c>
      <x:c r="G23" s="53" t="n">
        <x:v>0</x:v>
      </x:c>
      <x:c r="H23" s="53" t="n">
        <x:v>0</x:v>
      </x:c>
      <x:c r="I23" s="53" t="str">
        <x:v>259 actions; 140 transcript entries; fog, illegal action rejection, replay, tamper and audit passed</x:v>
      </x:c>
      <x:c r="J23" s="53" t="str">
        <x:v>Winner seat 0 by uptime; match m_d233c8dc60d4.</x:v>
      </x:c>
    </x:row>
    <x:row r="24" ht="26.399999618530273" hidden="0" customHeight="1">
      <x:c r="A24" s="53" t="str">
        <x:v>RUN-019</x:v>
      </x:c>
      <x:c r="B24" s="54" t="n">
        <x:v>46254.5</x:v>
      </x:c>
      <x:c r="C24" s="53" t="str">
        <x:v>Generated site and rulebook idempotence</x:v>
      </x:c>
      <x:c r="D24" s="53" t="str">
        <x:v>npm run build; git diff --exit-code -- site/rules.html</x:v>
      </x:c>
      <x:c r="E24" s="53" t="str">
        <x:v>Pass</x:v>
      </x:c>
      <x:c r="F24" s="53" t="n">
        <x:v>2</x:v>
      </x:c>
      <x:c r="G24" s="53" t="n">
        <x:v>0</x:v>
      </x:c>
      <x:c r="H24" s="53" t="n">
        <x:v>0</x:v>
      </x:c>
      <x:c r="I24" s="53" t="str">
        <x:v>Build passed and generated rulebook was clean</x:v>
      </x:c>
      <x:c r="J24" s="53" t="str">
        <x:v>Confirms committed output matches source generator.</x:v>
      </x:c>
    </x:row>
  </x:sheetData>
  <x:mergeCells>
    <x:mergeCell ref="A1:J1"/>
    <x:mergeCell ref="A2:J2"/>
  </x:mergeCells>
  <x:conditionalFormatting sqref="E6:E15">
    <x:cfRule type="containsText" dxfId="14" priority="1" operator="containsText" text="Pass"/>
    <x:cfRule type="containsText" dxfId="15" priority="2" operator="containsText" text="Fail"/>
    <x:cfRule type="containsText" dxfId="16" priority="3" operator="containsText" text="Blocked"/>
    <x:cfRule type="containsText" dxfId="17" priority="4" operator="containsText" text="Not Run"/>
  </x:conditionalFormatting>
  <x:pageMargins left="0.7" right="0.7" top="0.75" bottom="0.75" header="0.3" footer="0.3"/>
  <x:tableParts count="1">
    <x:tablePart xmlns:r="http://schemas.openxmlformats.org/officeDocument/2006/relationships" r:id="Rd1caaf3faf214e98"/>
  </x:tableParts>
</x:worksheet>
</file>