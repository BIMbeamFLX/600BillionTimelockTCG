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56dc192627d04597" /></Relationships>
</file>

<file path=xl/workbook.xml><?xml version="1.0" encoding="utf-8"?>
<x:workbook xmlns:x="http://schemas.openxmlformats.org/spreadsheetml/2006/main">
  <x:sheets>
    <x:sheet xmlns:r="http://schemas.openxmlformats.org/officeDocument/2006/relationships" name="Dashboard" sheetId="1" r:id="R1a07c6afd012407e"/>
    <x:sheet xmlns:r="http://schemas.openxmlformats.org/officeDocument/2006/relationships" name="User Stories" sheetId="2" r:id="R9b2eefd3354f4484"/>
    <x:sheet xmlns:r="http://schemas.openxmlformats.org/officeDocument/2006/relationships" name="Protocol" sheetId="3" r:id="R186fcdc1442c40af"/>
    <x:sheet xmlns:r="http://schemas.openxmlformats.org/officeDocument/2006/relationships" name="Defects" sheetId="4" r:id="R5ca320e297064127"/>
    <x:sheet xmlns:r="http://schemas.openxmlformats.org/officeDocument/2006/relationships" name="Test Runs" sheetId="5" r:id="R023746f762e24e32"/>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yyyy-mm-dd hh:mm"/>
    <x:numFmt numFmtId="201" formatCode="#,##0"/>
    <x:numFmt numFmtId="202" formatCode="yyyy-mm-dd"/>
  </x:numFmts>
  <x:fonts count="24">
    <x:font>
      <x:sz val="11"/>
      <x:name val="Carlito"/>
    </x:font>
    <x:font>
      <x:b/>
      <x:sz val="18"/>
      <x:color rgb="FFFFF7EC"/>
      <x:name val="Carlito"/>
    </x:font>
    <x:font>
      <x:i/>
      <x:sz val="11"/>
      <x:color rgb="FFB8AFBF"/>
      <x:name val="Carlito"/>
    </x:font>
    <x:font>
      <x:b/>
      <x:sz val="11"/>
      <x:color rgb="FFFFF7EC"/>
      <x:name val="Carlito"/>
    </x:font>
    <x:font>
      <x:b/>
      <x:sz val="11"/>
      <x:color rgb="FFFFFFFF"/>
      <x:name val="Carlito"/>
    </x:font>
    <x:font>
      <x:b/>
      <x:sz val="11"/>
      <x:color rgb="FF16683F"/>
      <x:name val="Carlito"/>
    </x:font>
    <x:font>
      <x:b/>
      <x:sz val="10"/>
      <x:color rgb="FF221B27"/>
      <x:name val="Arial"/>
    </x:font>
    <x:font>
      <x:sz val="10"/>
      <x:color rgb="FF221B27"/>
      <x:name val="Arial"/>
    </x:font>
    <x:font>
      <x:i/>
      <x:sz val="10"/>
      <x:color rgb="FF221B27"/>
      <x:name val="Arial"/>
    </x:font>
    <x:font>
      <x:b/>
      <x:sz val="10"/>
      <x:color rgb="FFFFF7EC"/>
      <x:name val="Arial"/>
    </x:font>
    <x:font>
      <x:sz val="10"/>
      <x:color rgb="FFFFF7EC"/>
      <x:name val="Arial"/>
    </x:font>
    <x:font>
      <x:i/>
      <x:sz val="10"/>
      <x:color rgb="FFFFF7EC"/>
      <x:name val="Arial"/>
    </x:font>
    <x:font>
      <x:b/>
      <x:sz val="9"/>
      <x:color rgb="FF221B27"/>
      <x:name val="Arial"/>
    </x:font>
    <x:font>
      <x:sz val="9"/>
      <x:color rgb="FF221B27"/>
      <x:name val="Arial"/>
    </x:font>
    <x:font>
      <x:i/>
      <x:sz val="9"/>
      <x:color rgb="FF221B27"/>
      <x:name val="Arial"/>
    </x:font>
    <x:font>
      <x:b/>
      <x:sz val="9"/>
      <x:color rgb="FFFFF7EC"/>
      <x:name val="Arial"/>
    </x:font>
    <x:font>
      <x:sz val="9"/>
      <x:color rgb="FFFFF7EC"/>
      <x:name val="Arial"/>
    </x:font>
    <x:font>
      <x:sz val="11"/>
      <x:color rgb="FFFFF7EC"/>
      <x:name val="Arial"/>
    </x:font>
    <x:font>
      <x:i/>
      <x:sz val="9"/>
      <x:color rgb="FFFFF7EC"/>
      <x:name val="Arial"/>
    </x:font>
    <x:font>
      <x:b/>
      <x:sz val="18"/>
      <x:color rgb="FFFFFFFF"/>
      <x:name val="Carlito"/>
    </x:font>
    <x:font>
      <x:i/>
      <x:sz val="10"/>
      <x:color rgb="FF374151"/>
      <x:name val="Carlito"/>
    </x:font>
    <x:font>
      <x:sz val="9"/>
      <x:color rgb="FF111827"/>
      <x:name val="Carlito"/>
    </x:font>
    <x:font>
      <x:b/>
      <x:sz val="11"/>
      <x:color rgb="FF374151"/>
      <x:name val="Carlito"/>
    </x:font>
    <x:font>
      <x:b/>
      <x:sz val="11"/>
      <x:color rgb="FF92400E"/>
      <x:name val="Carlito"/>
    </x:font>
  </x:fonts>
  <x:fills count="21">
    <x:fill>
      <x:patternFill patternType="none"/>
    </x:fill>
    <x:fill>
      <x:patternFill patternType="gray125"/>
    </x:fill>
    <x:fill>
      <x:patternFill patternType="solid">
        <x:fgColor rgb="FF09080B"/>
      </x:patternFill>
    </x:fill>
    <x:fill>
      <x:patternFill patternType="solid">
        <x:fgColor rgb="FF17131E"/>
      </x:patternFill>
    </x:fill>
    <x:fill>
      <x:patternFill patternType="solid">
        <x:fgColor rgb="FF7447B8"/>
      </x:patternFill>
    </x:fill>
    <x:fill>
      <x:patternFill patternType="solid">
        <x:fgColor rgb="FFDDF4E7"/>
      </x:patternFill>
    </x:fill>
    <x:fill>
      <x:patternFill patternType="solid">
        <x:fgColor rgb="FF111827"/>
      </x:patternFill>
    </x:fill>
    <x:fill>
      <x:patternFill patternType="solid">
        <x:fgColor rgb="FFE5E7EB"/>
      </x:patternFill>
    </x:fill>
    <x:fill>
      <x:patternFill patternType="solid">
        <x:fgColor rgb="FFEFF6FF"/>
      </x:patternFill>
    </x:fill>
    <x:fill>
      <x:patternFill patternType="solid">
        <x:fgColor rgb="FFFFF7ED"/>
      </x:patternFill>
    </x:fill>
    <x:fill>
      <x:patternFill patternType="solid">
        <x:fgColor rgb="FFFEF3C7"/>
      </x:patternFill>
    </x:fill>
    <x:fill>
      <x:patternFill patternType="solid">
        <x:fgColor rgb="FF111827"/>
      </x:patternFill>
    </x:fill>
    <x:fill>
      <x:patternFill patternType="solid">
        <x:fgColor rgb="FFE5E7EB"/>
      </x:patternFill>
    </x:fill>
    <x:fill>
      <x:patternFill patternType="solid">
        <x:fgColor rgb="FFEFF6FF"/>
      </x:patternFill>
    </x:fill>
    <x:fill>
      <x:patternFill patternType="solid">
        <x:fgColor rgb="FFFFF7ED"/>
      </x:patternFill>
    </x:fill>
    <x:fill>
      <x:patternFill patternType="solid">
        <x:fgColor rgb="FFFEF3C7"/>
      </x:patternFill>
    </x:fill>
    <x:fill>
      <x:patternFill patternType="solid">
        <x:fgColor rgb="FF111827"/>
      </x:patternFill>
    </x:fill>
    <x:fill>
      <x:patternFill patternType="solid">
        <x:fgColor rgb="FFE5E7EB"/>
      </x:patternFill>
    </x:fill>
    <x:fill>
      <x:patternFill patternType="solid">
        <x:fgColor rgb="FFEFF6FF"/>
      </x:patternFill>
    </x:fill>
    <x:fill>
      <x:patternFill patternType="solid">
        <x:fgColor rgb="FFFFF7ED"/>
      </x:patternFill>
    </x:fill>
    <x:fill>
      <x:patternFill patternType="solid">
        <x:fgColor rgb="FFFEF3C7"/>
      </x:patternFill>
    </x:fill>
  </x:fills>
  <x:borders count="9">
    <x:border/>
    <x:border>
      <x:left style="thin">
        <x:color rgb="FFD8C8E8"/>
      </x:left>
      <x:top style="thin">
        <x:color rgb="FFD8C8E8"/>
      </x:top>
      <x:bottom style="thin">
        <x:color rgb="FFD8C8E8"/>
      </x:bottom>
    </x:border>
    <x:border>
      <x:right style="thin">
        <x:color rgb="FFD8C8E8"/>
      </x:right>
      <x:top style="thin">
        <x:color rgb="FFD8C8E8"/>
      </x:top>
      <x:bottom style="thin">
        <x:color rgb="FFD8C8E8"/>
      </x:bottom>
    </x:border>
    <x:border>
      <x:top style="thin">
        <x:color rgb="FFD8C8E8"/>
      </x:top>
      <x:bottom style="thin">
        <x:color rgb="FFD8C8E8"/>
      </x:bottom>
    </x:border>
    <x:border>
      <x:bottom style="thin">
        <x:color rgb="FFE5DDE8"/>
      </x:bottom>
    </x:border>
    <x:border>
      <x:left style="thin">
        <x:color rgb="FFD8C8E8"/>
      </x:left>
      <x:bottom style="thin">
        <x:color rgb="FFE5DDE8"/>
      </x:bottom>
    </x:border>
    <x:border>
      <x:right style="thin">
        <x:color rgb="FFD8C8E8"/>
      </x:right>
      <x:bottom style="thin">
        <x:color rgb="FFE5DDE8"/>
      </x:bottom>
    </x:border>
    <x:border>
      <x:top style="thin">
        <x:color rgb="FFE5DDE8"/>
      </x:top>
      <x:bottom style="thin">
        <x:color rgb="FFE5DDE8"/>
      </x:bottom>
    </x:border>
    <x:border>
      <x:top style="thin">
        <x:color rgb="FFE5DDE8"/>
      </x:top>
    </x:border>
  </x:borders>
  <x:cellStyleXfs count="1">
    <x:xf numFmtId="0" fontId="0" fillId="0" borderId="0"/>
  </x:cellStyleXfs>
  <x:cellXfs count="118">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3" fillId="3" borderId="0" xfId="0" applyNumberFormat="1" applyFont="1" applyFill="1" applyBorder="1"/>
    <x:xf numFmtId="0" fontId="0" fillId="0" borderId="0" xfId="0" applyNumberFormat="1" applyFont="1" applyFill="1" applyBorder="1" applyAlignment="1">
      <x:alignment wrapText="1"/>
    </x:xf>
    <x:xf numFmtId="200" fontId="0" fillId="0" borderId="0" xfId="0" applyNumberFormat="1" applyFont="1" applyFill="1" applyBorder="1" applyAlignment="1">
      <x:alignment wrapText="1"/>
    </x:xf>
    <x:xf numFmtId="0" fontId="0" fillId="4" borderId="0" xfId="0" applyNumberFormat="1" applyFont="1" applyFill="1" applyBorder="1"/>
    <x:xf numFmtId="0" fontId="4" fillId="4" borderId="0" xfId="0" applyNumberFormat="1" applyFont="1" applyFill="1" applyBorder="1"/>
    <x:xf numFmtId="0" fontId="4" fillId="4" borderId="1" xfId="0" applyNumberFormat="1" applyFont="1" applyFill="1" applyBorder="1"/>
    <x:xf numFmtId="0" fontId="4" fillId="4" borderId="2" xfId="0" applyNumberFormat="1" applyFont="1" applyFill="1" applyBorder="1"/>
    <x:xf numFmtId="0" fontId="4" fillId="4" borderId="1" xfId="0" applyNumberFormat="1" applyFont="1" applyFill="1" applyBorder="1" applyAlignment="1">
      <x:alignment wrapText="1"/>
    </x:xf>
    <x:xf numFmtId="0" fontId="4" fillId="4" borderId="2" xfId="0" applyNumberFormat="1" applyFont="1" applyFill="1" applyBorder="1" applyAlignment="1">
      <x:alignment wrapText="1"/>
    </x:xf>
    <x:xf numFmtId="0" fontId="4" fillId="4" borderId="1" xfId="0" applyNumberFormat="1" applyFont="1" applyFill="1" applyBorder="1" applyAlignment="1">
      <x:alignment vertical="center" wrapText="1"/>
    </x:xf>
    <x:xf numFmtId="0" fontId="4" fillId="4" borderId="2" xfId="0" applyNumberFormat="1" applyFont="1" applyFill="1" applyBorder="1" applyAlignment="1">
      <x:alignment vertical="center" wrapText="1"/>
    </x:xf>
    <x:xf numFmtId="0" fontId="0" fillId="5"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0" fontId="4" fillId="4" borderId="3" xfId="0" applyNumberFormat="1" applyFont="1" applyFill="1" applyBorder="1"/>
    <x:xf numFmtId="0" fontId="4" fillId="4" borderId="3" xfId="0" applyNumberFormat="1" applyFont="1" applyFill="1" applyBorder="1" applyAlignment="1">
      <x:alignment wrapText="1"/>
    </x:xf>
    <x:xf numFmtId="0" fontId="4" fillId="4" borderId="3" xfId="0" applyNumberFormat="1" applyFont="1" applyFill="1" applyBorder="1" applyAlignment="1">
      <x:alignment vertical="center" wrapText="1"/>
    </x:xf>
    <x:xf numFmtId="0" fontId="6" fillId="2" borderId="0" xfId="0" applyNumberFormat="1" applyFont="1" applyFill="1" applyBorder="1" applyAlignment="1">
      <x:alignment vertical="center"/>
    </x:xf>
    <x:xf numFmtId="0" fontId="7" fillId="0" borderId="0" xfId="0" applyNumberFormat="1" applyFont="1" applyFill="1" applyBorder="1"/>
    <x:xf numFmtId="0" fontId="8" fillId="3" borderId="0" xfId="0" applyNumberFormat="1" applyFont="1" applyFill="1" applyBorder="1" applyAlignment="1">
      <x:alignment wrapText="1"/>
    </x:xf>
    <x:xf numFmtId="0" fontId="6" fillId="3" borderId="0" xfId="0" applyNumberFormat="1" applyFont="1" applyFill="1" applyBorder="1"/>
    <x:xf numFmtId="0" fontId="7" fillId="0" borderId="0" xfId="0" applyNumberFormat="1" applyFont="1" applyFill="1" applyBorder="1" applyAlignment="1">
      <x:alignment wrapText="1"/>
    </x:xf>
    <x:xf numFmtId="0" fontId="6" fillId="4" borderId="1" xfId="0" applyNumberFormat="1" applyFont="1" applyFill="1" applyBorder="1" applyAlignment="1">
      <x:alignment vertical="center" wrapText="1"/>
    </x:xf>
    <x:xf numFmtId="0" fontId="6" fillId="4" borderId="2" xfId="0" applyNumberFormat="1" applyFont="1" applyFill="1" applyBorder="1" applyAlignment="1">
      <x:alignment vertical="center" wrapText="1"/>
    </x:xf>
    <x:xf numFmtId="200" fontId="7" fillId="0" borderId="0" xfId="0" applyNumberFormat="1" applyFont="1" applyFill="1" applyBorder="1" applyAlignment="1">
      <x:alignment wrapText="1"/>
    </x:xf>
    <x:xf numFmtId="0" fontId="6" fillId="5" borderId="0" xfId="0" applyNumberFormat="1" applyFont="1" applyFill="1" applyBorder="1" applyAlignment="1">
      <x:alignment wrapText="1"/>
    </x:xf>
    <x:xf numFmtId="0" fontId="6" fillId="4" borderId="3" xfId="0" applyNumberFormat="1" applyFont="1" applyFill="1" applyBorder="1" applyAlignment="1">
      <x:alignment vertical="center" wrapText="1"/>
    </x:xf>
    <x:xf numFmtId="0" fontId="9" fillId="2" borderId="0" xfId="0" applyNumberFormat="1" applyFont="1" applyFill="1" applyBorder="1" applyAlignment="1">
      <x:alignment vertical="center"/>
    </x:xf>
    <x:xf numFmtId="0" fontId="10" fillId="0" borderId="0" xfId="0" applyNumberFormat="1" applyFont="1" applyFill="1" applyBorder="1"/>
    <x:xf numFmtId="0" fontId="11" fillId="3" borderId="0" xfId="0" applyNumberFormat="1" applyFont="1" applyFill="1" applyBorder="1" applyAlignment="1">
      <x:alignment wrapText="1"/>
    </x:xf>
    <x:xf numFmtId="0" fontId="6" fillId="3" borderId="4" xfId="0" applyNumberFormat="1" applyFont="1" applyFill="1" applyBorder="1"/>
    <x:xf numFmtId="0" fontId="7" fillId="0" borderId="4" xfId="0" applyNumberFormat="1" applyFont="1" applyFill="1" applyBorder="1" applyAlignment="1">
      <x:alignment wrapText="1"/>
    </x:xf>
    <x:xf numFmtId="0" fontId="7" fillId="0" borderId="4" xfId="0" applyNumberFormat="1" applyFont="1" applyFill="1" applyBorder="1"/>
    <x:xf numFmtId="0" fontId="6" fillId="4" borderId="5" xfId="0" applyNumberFormat="1" applyFont="1" applyFill="1" applyBorder="1" applyAlignment="1">
      <x:alignment vertical="center" wrapText="1"/>
    </x:xf>
    <x:xf numFmtId="0" fontId="6" fillId="4" borderId="6" xfId="0" applyNumberFormat="1" applyFont="1" applyFill="1" applyBorder="1" applyAlignment="1">
      <x:alignment vertical="center" wrapText="1"/>
    </x:xf>
    <x:xf numFmtId="0" fontId="6" fillId="4" borderId="4" xfId="0" applyNumberFormat="1" applyFont="1" applyFill="1" applyBorder="1" applyAlignment="1">
      <x:alignment vertical="center" wrapText="1"/>
    </x:xf>
    <x:xf numFmtId="0" fontId="6" fillId="3" borderId="7" xfId="0" applyNumberFormat="1" applyFont="1" applyFill="1" applyBorder="1"/>
    <x:xf numFmtId="0" fontId="7" fillId="0" borderId="7" xfId="0" applyNumberFormat="1" applyFont="1" applyFill="1" applyBorder="1" applyAlignment="1">
      <x:alignment wrapText="1"/>
    </x:xf>
    <x:xf numFmtId="0" fontId="7" fillId="0" borderId="7" xfId="0" applyNumberFormat="1" applyFont="1" applyFill="1" applyBorder="1"/>
    <x:xf numFmtId="200" fontId="7" fillId="0" borderId="7" xfId="0" applyNumberFormat="1" applyFont="1" applyFill="1" applyBorder="1" applyAlignment="1">
      <x:alignment wrapText="1"/>
    </x:xf>
    <x:xf numFmtId="0" fontId="6" fillId="5" borderId="7" xfId="0" applyNumberFormat="1" applyFont="1" applyFill="1" applyBorder="1" applyAlignment="1">
      <x:alignment wrapText="1"/>
    </x:xf>
    <x:xf numFmtId="0" fontId="6" fillId="4" borderId="7" xfId="0" applyNumberFormat="1" applyFont="1" applyFill="1" applyBorder="1" applyAlignment="1">
      <x:alignment vertical="center" wrapText="1"/>
    </x:xf>
    <x:xf numFmtId="0" fontId="7" fillId="0" borderId="8" xfId="0" applyNumberFormat="1" applyFont="1" applyFill="1" applyBorder="1"/>
    <x:xf numFmtId="0" fontId="9" fillId="3" borderId="4" xfId="0" applyNumberFormat="1" applyFont="1" applyFill="1" applyBorder="1"/>
    <x:xf numFmtId="0" fontId="9" fillId="3" borderId="7" xfId="0" applyNumberFormat="1" applyFont="1" applyFill="1" applyBorder="1"/>
    <x:xf numFmtId="200" fontId="0" fillId="0" borderId="0" xfId="0" applyNumberFormat="1" applyFont="1" applyFill="1" applyBorder="1"/>
    <x:xf numFmtId="0" fontId="0" fillId="0" borderId="0"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201" fontId="0" fillId="0" borderId="0" xfId="0" applyNumberFormat="1" applyFont="1" applyFill="1" applyBorder="1"/>
    <x:xf numFmtId="201" fontId="0" fillId="0" borderId="0" xfId="0" applyNumberFormat="1" applyFont="1" applyFill="1" applyBorder="1" applyAlignment="1">
      <x:alignment wrapText="1"/>
    </x:xf>
    <x:xf numFmtId="0" fontId="12" fillId="2" borderId="0" xfId="0" applyNumberFormat="1" applyFont="1" applyFill="1" applyBorder="1" applyAlignment="1">
      <x:alignment vertical="center"/>
    </x:xf>
    <x:xf numFmtId="0" fontId="13" fillId="0" borderId="0" xfId="0" applyNumberFormat="1" applyFont="1" applyFill="1" applyBorder="1"/>
    <x:xf numFmtId="0" fontId="14" fillId="3" borderId="0" xfId="0" applyNumberFormat="1" applyFont="1" applyFill="1" applyBorder="1" applyAlignment="1">
      <x:alignment wrapText="1"/>
    </x:xf>
    <x:xf numFmtId="0" fontId="12" fillId="4" borderId="1" xfId="0" applyNumberFormat="1" applyFont="1" applyFill="1" applyBorder="1" applyAlignment="1">
      <x:alignment vertical="center" wrapText="1"/>
    </x:xf>
    <x:xf numFmtId="0" fontId="12" fillId="4" borderId="3" xfId="0" applyNumberFormat="1" applyFont="1" applyFill="1" applyBorder="1" applyAlignment="1">
      <x:alignment vertical="center" wrapText="1"/>
    </x:xf>
    <x:xf numFmtId="0" fontId="12" fillId="4" borderId="2" xfId="0" applyNumberFormat="1" applyFont="1" applyFill="1" applyBorder="1" applyAlignment="1">
      <x:alignment vertical="center" wrapText="1"/>
    </x:xf>
    <x:xf numFmtId="0" fontId="13" fillId="0" borderId="0" xfId="0" applyNumberFormat="1" applyFont="1" applyFill="1" applyBorder="1" applyAlignment="1">
      <x:alignment vertical="top" wrapText="1"/>
    </x:xf>
    <x:xf numFmtId="200" fontId="13" fillId="0" borderId="0" xfId="0" applyNumberFormat="1" applyFont="1" applyFill="1" applyBorder="1" applyAlignment="1">
      <x:alignment vertical="top" wrapText="1"/>
    </x:xf>
    <x:xf numFmtId="0" fontId="15" fillId="2" borderId="0" xfId="0" applyNumberFormat="1" applyFont="1" applyFill="1" applyBorder="1" applyAlignment="1">
      <x:alignment vertical="center"/>
    </x:xf>
    <x:xf numFmtId="0" fontId="16" fillId="0" borderId="0" xfId="0" applyNumberFormat="1" applyFont="1" applyFill="1" applyBorder="1"/>
    <x:xf numFmtId="0" fontId="17" fillId="0" borderId="0" xfId="0" applyNumberFormat="1" applyFont="1" applyFill="1" applyBorder="1"/>
    <x:xf numFmtId="0" fontId="18" fillId="3" borderId="0" xfId="0" applyNumberFormat="1" applyFont="1" applyFill="1" applyBorder="1" applyAlignment="1">
      <x:alignment wrapText="1"/>
    </x:xf>
    <x:xf numFmtId="0" fontId="13" fillId="0" borderId="0" xfId="0" applyNumberFormat="1" applyFont="1" applyFill="1" applyBorder="1" applyAlignment="1">
      <x:alignment wrapText="1"/>
    </x:xf>
    <x:xf numFmtId="200" fontId="13" fillId="0" borderId="0" xfId="0" applyNumberFormat="1" applyFont="1" applyFill="1" applyBorder="1" applyAlignment="1">
      <x:alignment wrapText="1"/>
    </x:xf>
    <x:xf numFmtId="201" fontId="13" fillId="0" borderId="0" xfId="0" applyNumberFormat="1" applyFont="1" applyFill="1" applyBorder="1" applyAlignment="1">
      <x:alignment wrapText="1"/>
    </x:xf>
    <x:xf numFmtId="0" fontId="0" fillId="6" borderId="0" xfId="0" applyNumberFormat="1" applyFont="1" applyFill="1" applyBorder="1"/>
    <x:xf numFmtId="0" fontId="19" fillId="6" borderId="0" xfId="0" applyNumberFormat="1" applyFont="1" applyFill="1" applyBorder="1"/>
    <x:xf numFmtId="0" fontId="19" fillId="6" borderId="0" xfId="0" applyNumberFormat="1" applyFont="1" applyFill="1" applyBorder="1" applyAlignment="1">
      <x:alignment vertical="center"/>
    </x:xf>
    <x:xf numFmtId="0" fontId="0" fillId="7" borderId="0" xfId="0" applyNumberFormat="1" applyFont="1" applyFill="1" applyBorder="1"/>
    <x:xf numFmtId="0" fontId="20" fillId="7" borderId="0" xfId="0" applyNumberFormat="1" applyFont="1" applyFill="1" applyBorder="1"/>
    <x:xf numFmtId="0" fontId="20" fillId="7" borderId="0" xfId="0" applyNumberFormat="1" applyFont="1" applyFill="1" applyBorder="1" applyAlignment="1">
      <x:alignment wrapText="1"/>
    </x:xf>
    <x:xf numFmtId="0" fontId="20" fillId="7" borderId="0"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21" fillId="0" borderId="0" xfId="0" applyNumberFormat="1" applyFont="1" applyFill="1" applyBorder="1" applyAlignment="1">
      <x:alignment vertical="top" wrapText="1"/>
    </x:xf>
    <x:xf numFmtId="202" fontId="0" fillId="0" borderId="0" xfId="0" applyNumberFormat="1" applyFont="1" applyFill="1" applyBorder="1"/>
    <x:xf numFmtId="202" fontId="0" fillId="0" borderId="0" xfId="0" applyNumberFormat="1" applyFont="1" applyFill="1" applyBorder="1" applyAlignment="1">
      <x:alignment wrapText="1"/>
    </x:xf>
    <x:xf numFmtId="0"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0" fontId="22" fillId="0" borderId="0" xfId="0" applyNumberFormat="1" applyFont="1" applyFill="1" applyBorder="1" applyAlignment="1">
      <x:alignment vertical="center" wrapText="1"/>
    </x:xf>
    <x:xf numFmtId="0" fontId="0" fillId="8" borderId="0" xfId="0" applyNumberFormat="1" applyFont="1" applyFill="1" applyBorder="1" applyAlignment="1">
      <x:alignment vertical="center" wrapText="1"/>
    </x:xf>
    <x:xf numFmtId="0" fontId="0" fillId="9" borderId="0" xfId="0" applyNumberFormat="1" applyFont="1" applyFill="1" applyBorder="1" applyAlignment="1">
      <x:alignment vertical="center" wrapText="1"/>
    </x:xf>
    <x:xf numFmtId="0" fontId="0" fillId="10" borderId="0" xfId="0" applyNumberFormat="1" applyFont="1" applyFill="1" applyBorder="1"/>
    <x:xf numFmtId="0" fontId="23" fillId="10" borderId="0" xfId="0" applyNumberFormat="1" applyFont="1" applyFill="1" applyBorder="1"/>
    <x:xf numFmtId="0" fontId="23" fillId="10" borderId="0" xfId="0" applyNumberFormat="1" applyFont="1" applyFill="1" applyBorder="1" applyAlignment="1">
      <x:alignment wrapText="1"/>
    </x:xf>
    <x:xf numFmtId="0" fontId="23" fillId="10" borderId="0" xfId="0" applyNumberFormat="1" applyFont="1" applyFill="1" applyBorder="1" applyAlignment="1">
      <x:alignment vertical="center" wrapText="1"/>
    </x:xf>
    <x:xf numFmtId="0" fontId="0" fillId="11" borderId="0" xfId="0" applyNumberFormat="1" applyFont="1" applyFill="1" applyBorder="1"/>
    <x:xf numFmtId="0" fontId="19" fillId="11" borderId="0" xfId="0" applyNumberFormat="1" applyFont="1" applyFill="1" applyBorder="1"/>
    <x:xf numFmtId="0" fontId="19" fillId="11" borderId="0" xfId="0" applyNumberFormat="1" applyFont="1" applyFill="1" applyBorder="1" applyAlignment="1">
      <x:alignment vertical="center"/>
    </x:xf>
    <x:xf numFmtId="0" fontId="0" fillId="12" borderId="0" xfId="0" applyNumberFormat="1" applyFont="1" applyFill="1" applyBorder="1"/>
    <x:xf numFmtId="0" fontId="20" fillId="12" borderId="0" xfId="0" applyNumberFormat="1" applyFont="1" applyFill="1" applyBorder="1"/>
    <x:xf numFmtId="0" fontId="20" fillId="12" borderId="0" xfId="0" applyNumberFormat="1" applyFont="1" applyFill="1" applyBorder="1" applyAlignment="1">
      <x:alignment wrapText="1"/>
    </x:xf>
    <x:xf numFmtId="0" fontId="20" fillId="12" borderId="0" xfId="0" applyNumberFormat="1" applyFont="1" applyFill="1" applyBorder="1" applyAlignment="1">
      <x:alignment vertical="center" wrapText="1"/>
    </x:xf>
    <x:xf numFmtId="0" fontId="0" fillId="13" borderId="0" xfId="0" applyNumberFormat="1" applyFont="1" applyFill="1" applyBorder="1" applyAlignment="1">
      <x:alignment vertical="center" wrapText="1"/>
    </x:xf>
    <x:xf numFmtId="0" fontId="0" fillId="14" borderId="0" xfId="0" applyNumberFormat="1" applyFont="1" applyFill="1" applyBorder="1" applyAlignment="1">
      <x:alignment vertical="center" wrapText="1"/>
    </x:xf>
    <x:xf numFmtId="0" fontId="0" fillId="15" borderId="0" xfId="0" applyNumberFormat="1" applyFont="1" applyFill="1" applyBorder="1"/>
    <x:xf numFmtId="0" fontId="23" fillId="15" borderId="0" xfId="0" applyNumberFormat="1" applyFont="1" applyFill="1" applyBorder="1"/>
    <x:xf numFmtId="0" fontId="23" fillId="15" borderId="0" xfId="0" applyNumberFormat="1" applyFont="1" applyFill="1" applyBorder="1" applyAlignment="1">
      <x:alignment wrapText="1"/>
    </x:xf>
    <x:xf numFmtId="0" fontId="23" fillId="15" borderId="0" xfId="0" applyNumberFormat="1" applyFont="1" applyFill="1" applyBorder="1" applyAlignment="1">
      <x:alignment vertical="center" wrapText="1"/>
    </x:xf>
    <x:xf numFmtId="0" fontId="0" fillId="16" borderId="0" xfId="0" applyNumberFormat="1" applyFont="1" applyFill="1" applyBorder="1"/>
    <x:xf numFmtId="0" fontId="19" fillId="16" borderId="0" xfId="0" applyNumberFormat="1" applyFont="1" applyFill="1" applyBorder="1"/>
    <x:xf numFmtId="0" fontId="19" fillId="16" borderId="0" xfId="0" applyNumberFormat="1" applyFont="1" applyFill="1" applyBorder="1" applyAlignment="1">
      <x:alignment vertical="center"/>
    </x:xf>
    <x:xf numFmtId="0" fontId="0" fillId="17" borderId="0" xfId="0" applyNumberFormat="1" applyFont="1" applyFill="1" applyBorder="1"/>
    <x:xf numFmtId="0" fontId="20" fillId="17" borderId="0" xfId="0" applyNumberFormat="1" applyFont="1" applyFill="1" applyBorder="1"/>
    <x:xf numFmtId="0" fontId="20" fillId="17" borderId="0" xfId="0" applyNumberFormat="1" applyFont="1" applyFill="1" applyBorder="1" applyAlignment="1">
      <x:alignment wrapText="1"/>
    </x:xf>
    <x:xf numFmtId="0" fontId="20" fillId="17" borderId="0" xfId="0" applyNumberFormat="1" applyFont="1" applyFill="1" applyBorder="1" applyAlignment="1">
      <x:alignment vertical="center" wrapText="1"/>
    </x:xf>
    <x:xf numFmtId="0" fontId="0" fillId="18" borderId="0" xfId="0" applyNumberFormat="1" applyFont="1" applyFill="1" applyBorder="1" applyAlignment="1">
      <x:alignment vertical="center" wrapText="1"/>
    </x:xf>
    <x:xf numFmtId="0" fontId="0" fillId="19" borderId="0" xfId="0" applyNumberFormat="1" applyFont="1" applyFill="1" applyBorder="1" applyAlignment="1">
      <x:alignment vertical="center" wrapText="1"/>
    </x:xf>
    <x:xf numFmtId="0" fontId="0" fillId="20" borderId="0" xfId="0" applyNumberFormat="1" applyFont="1" applyFill="1" applyBorder="1"/>
    <x:xf numFmtId="0" fontId="23" fillId="20" borderId="0" xfId="0" applyNumberFormat="1" applyFont="1" applyFill="1" applyBorder="1"/>
    <x:xf numFmtId="0" fontId="23" fillId="20" borderId="0" xfId="0" applyNumberFormat="1" applyFont="1" applyFill="1" applyBorder="1" applyAlignment="1">
      <x:alignment wrapText="1"/>
    </x:xf>
    <x:xf numFmtId="0" fontId="23" fillId="20" borderId="0" xfId="0" applyNumberFormat="1" applyFont="1" applyFill="1" applyBorder="1" applyAlignment="1">
      <x:alignment vertical="center" wrapText="1"/>
    </x:xf>
  </x:cellXfs>
  <x:cellStyles count="1">
    <x:cellStyle name="Normal" xfId="0"/>
  </x:cellStyles>
  <x:dxfs count="36">
    <x:dxf>
      <x:font>
        <x:b/>
        <x:color rgb="FF16683F"/>
      </x:font>
      <x:fill>
        <x:patternFill>
          <x:bgColor rgb="FFDDF4E7"/>
        </x:patternFill>
      </x:fill>
    </x:dxf>
    <x:dxf>
      <x:font>
        <x:b/>
        <x:color rgb="FF8D2130"/>
      </x:font>
      <x:fill>
        <x:patternFill>
          <x:bgColor rgb="FFF9DDE1"/>
        </x:patternFill>
      </x:fill>
    </x:dxf>
    <x:dxf>
      <x:font>
        <x:b/>
        <x:color rgb="FF7A5700"/>
      </x:font>
      <x:fill>
        <x:patternFill>
          <x:bgColor rgb="FFFFF0C2"/>
        </x:patternFill>
      </x:fill>
    </x:dxf>
    <x:dxf>
      <x:font>
        <x:color rgb="FF5C5262"/>
      </x:font>
      <x:fill>
        <x:patternFill>
          <x:bgColor rgb="FFECE8EF"/>
        </x:patternFill>
      </x:fill>
    </x:dxf>
    <x:dxf>
      <x:font>
        <x:b/>
        <x:color rgb="FF16683F"/>
      </x:font>
      <x:fill>
        <x:patternFill>
          <x:bgColor rgb="FFDDF4E7"/>
        </x:patternFill>
      </x:fill>
    </x:dxf>
    <x:dxf>
      <x:font>
        <x:b/>
        <x:color rgb="FF8D2130"/>
      </x:font>
      <x:fill>
        <x:patternFill>
          <x:bgColor rgb="FFF9DDE1"/>
        </x:patternFill>
      </x:fill>
    </x:dxf>
    <x:dxf>
      <x:font>
        <x:b/>
        <x:color rgb="FF7A5700"/>
      </x:font>
      <x:fill>
        <x:patternFill>
          <x:bgColor rgb="FFFFF0C2"/>
        </x:patternFill>
      </x:fill>
    </x:dxf>
    <x:dxf>
      <x:font>
        <x:color rgb="FF5C5262"/>
      </x:font>
      <x:fill>
        <x:patternFill>
          <x:bgColor rgb="FFECE8EF"/>
        </x:patternFill>
      </x:fill>
    </x:dxf>
    <x:dxf>
      <x:font>
        <x:b/>
        <x:color rgb="FF16683F"/>
      </x:font>
      <x:fill>
        <x:patternFill>
          <x:bgColor rgb="FFDDF4E7"/>
        </x:patternFill>
      </x:fill>
    </x:dxf>
    <x:dxf>
      <x:font>
        <x:b/>
        <x:color rgb="FF8D2130"/>
      </x:font>
      <x:fill>
        <x:patternFill>
          <x:bgColor rgb="FFF9DDE1"/>
        </x:patternFill>
      </x:fill>
    </x:dxf>
    <x:dxf>
      <x:font>
        <x:b/>
        <x:color rgb="FF7A5700"/>
      </x:font>
      <x:fill>
        <x:patternFill>
          <x:bgColor rgb="FFFFF0C2"/>
        </x:patternFill>
      </x:fill>
    </x:dxf>
    <x:dxf>
      <x:font>
        <x:color rgb="FF5C5262"/>
      </x:font>
      <x:fill>
        <x:patternFill>
          <x:bgColor rgb="FFECE8EF"/>
        </x:patternFill>
      </x:fill>
    </x:dxf>
    <x:dxf>
      <x:font>
        <x:b/>
        <x:color rgb="FFFFFFFF"/>
      </x:font>
      <x:fill>
        <x:patternFill>
          <x:bgColor rgb="FF7F1D1D"/>
        </x:patternFill>
      </x:fill>
    </x:dxf>
    <x:dxf>
      <x:font>
        <x:b/>
        <x:color rgb="FF8D2130"/>
      </x:font>
      <x:fill>
        <x:patternFill>
          <x:bgColor rgb="FFF9DDE1"/>
        </x:patternFill>
      </x:fill>
    </x:dxf>
    <x:dxf>
      <x:font>
        <x:b/>
        <x:color rgb="FF16683F"/>
      </x:font>
      <x:fill>
        <x:patternFill>
          <x:bgColor rgb="FFDDF4E7"/>
        </x:patternFill>
      </x:fill>
    </x:dxf>
    <x:dxf>
      <x:font>
        <x:b/>
        <x:color rgb="FF8D2130"/>
      </x:font>
      <x:fill>
        <x:patternFill>
          <x:bgColor rgb="FFF9DDE1"/>
        </x:patternFill>
      </x:fill>
    </x:dxf>
    <x:dxf>
      <x:font>
        <x:b/>
        <x:color rgb="FF7A5700"/>
      </x:font>
      <x:fill>
        <x:patternFill>
          <x:bgColor rgb="FFFFF0C2"/>
        </x:patternFill>
      </x:fill>
    </x:dxf>
    <x:dxf>
      <x:font>
        <x:color rgb="FF5C5262"/>
      </x:font>
      <x:fill>
        <x:patternFill>
          <x:bgColor rgb="FFECE8EF"/>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patternType="solid">
          <x:bgColor rgb="FFDCFCE7"/>
        </x:patternFill>
      </x:fill>
    </x:dxf>
    <x:dxf>
      <x:font>
        <x:b/>
        <x:color rgb="FF991B1B"/>
      </x:font>
      <x:fill>
        <x:patternFill patternType="solid">
          <x:bgColor rgb="FFFEE2E2"/>
        </x:patternFill>
      </x:fill>
    </x:dxf>
    <x:dxf>
      <x:font>
        <x:b/>
        <x:color rgb="FF92400E"/>
      </x:font>
      <x:fill>
        <x:patternFill patternType="solid">
          <x:bgColor rgb="FFFEF3C7"/>
        </x:patternFill>
      </x:fill>
    </x:dxf>
    <x:dxf>
      <x:font>
        <x:b/>
        <x:color rgb="FF166534"/>
      </x:font>
      <x:fill>
        <x:patternFill patternType="solid">
          <x:bgColor rgb="FFDCFCE7"/>
        </x:patternFill>
      </x:fill>
    </x:dxf>
    <x:dxf>
      <x:font>
        <x:b/>
        <x:color rgb="FF991B1B"/>
      </x:font>
      <x:fill>
        <x:patternFill patternType="solid">
          <x:bgColor rgb="FFFEE2E2"/>
        </x:patternFill>
      </x:fill>
    </x:dxf>
    <x:dxf>
      <x:font>
        <x:b/>
        <x:color rgb="FF92400E"/>
      </x:font>
      <x:fill>
        <x:patternFill patternType="solid">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881acdd678840bb" /><Relationship Type="http://schemas.openxmlformats.org/officeDocument/2006/relationships/theme" Target="/xl/theme/theme1.xml" Id="Ra61ee4e50e644b1e" /><Relationship Type="http://schemas.openxmlformats.org/officeDocument/2006/relationships/sharedStrings" Target="/xl/sharedStrings.xml" Id="R7af0ba70c4794d9f" /><Relationship Type="http://schemas.openxmlformats.org/officeDocument/2006/relationships/worksheet" Target="/xl/worksheets/sheet1.xml" Id="R1a07c6afd012407e" /><Relationship Type="http://schemas.openxmlformats.org/officeDocument/2006/relationships/worksheet" Target="/xl/worksheets/sheet2.xml" Id="R9b2eefd3354f4484" /><Relationship Type="http://schemas.openxmlformats.org/officeDocument/2006/relationships/worksheet" Target="/xl/worksheets/sheet3.xml" Id="R186fcdc1442c40af" /><Relationship Type="http://schemas.openxmlformats.org/officeDocument/2006/relationships/worksheet" Target="/xl/worksheets/sheet4.xml" Id="R5ca320e297064127" /><Relationship Type="http://schemas.openxmlformats.org/officeDocument/2006/relationships/worksheet" Target="/xl/worksheets/sheet5.xml" Id="R023746f762e24e32" /><Relationship Type="http://schemas.microsoft.com/office/2017/10/relationships/person" Target="/xl/persons/person.xml" Id="Rad65105a096a4bfe" /></Relationships>
</file>

<file path=xl/persons/person.xml><?xml version="1.0" encoding="utf-8"?>
<xltc:personList xmlns:xltc="http://schemas.microsoft.com/office/spreadsheetml/2018/threadedcomments">
  <xltc:person displayName="Breno" id="{48E8FDB5-6176-4F8F-97C1-784795BAF667}"/>
</xltc:personList>
</file>

<file path=xl/tables/table1.xml><?xml version="1.0" encoding="utf-8"?>
<x:table xmlns:x="http://schemas.openxmlformats.org/spreadsheetml/2006/main" id="10" name="AuditPhases" displayName="AuditPhases" ref="A13:H18" headerRowCount="1" totalsRowCount="0" totalsRowShown="0">
  <x:tableColumns count="8">
    <x:tableColumn id="1" name="Phase"/>
    <x:tableColumn id="2" name="Status"/>
    <x:tableColumn id="3" name="Evidence"/>
    <x:tableColumn id="4" name="Next"/>
    <x:tableColumn id="5" name="Owner"/>
    <x:tableColumn id="6" name="Spec gate"/>
    <x:tableColumn id="7" name="PR"/>
    <x:tableColumn id="8" name="Notes"/>
  </x:tableColumns>
  <x:tableStyleInfo name="TableStyleMedium2" showFirstColumn="0" showLastColumn="0" showRowStripes="1" showColumnStripes="0"/>
</x:table>
</file>

<file path=xl/tables/table2.xml><?xml version="1.0" encoding="utf-8"?>
<x:table xmlns:x="http://schemas.openxmlformats.org/spreadsheetml/2006/main" id="9" name="CurrentUserStories" displayName="CurrentUserStories" ref="A5:O289" headerRowCount="1" totalsRowCount="0" totalsRowShown="0">
  <x:autoFilter ref="A5:O289"/>
  <x:tableColumns count="15">
    <x:tableColumn id="1" name="ID"/>
    <x:tableColumn id="2" name="Area"/>
    <x:tableColumn id="3" name="Persona"/>
    <x:tableColumn id="4" name="User story"/>
    <x:tableColumn id="5" name="Expected behaviour"/>
    <x:tableColumn id="6" name="Route / surface"/>
    <x:tableColumn id="7" name="Preconditions"/>
    <x:tableColumn id="8" name="Interaction / evidence"/>
    <x:tableColumn id="9" name="Automated check"/>
    <x:tableColumn id="10" name="Baseline status"/>
    <x:tableColumn id="11" name="Current status"/>
    <x:tableColumn id="12" name="Last tested"/>
    <x:tableColumn id="13" name="Defect IDs"/>
    <x:tableColumn id="14" name="Notes"/>
    <x:tableColumn id="15" name="Source"/>
  </x:tableColumns>
  <x:tableStyleInfo name="TableStyleMedium2" showFirstColumn="0" showLastColumn="0" showRowStripes="1" showColumnStripes="0"/>
</x:table>
</file>

<file path=xl/tables/table3.xml><?xml version="1.0" encoding="utf-8"?>
<x:table xmlns:x="http://schemas.openxmlformats.org/spreadsheetml/2006/main" id="2" name="ProtocolTable" displayName="ProtocolTable" ref="A5:G31" headerRowCount="1" totalsRowCount="0" totalsRowShown="0">
  <x:tableColumns count="7">
    <x:tableColumn id="1" name="ID"/>
    <x:tableColumn id="2" name="Spec area"/>
    <x:tableColumn id="3" name="Requirement"/>
    <x:tableColumn id="4" name="Implementation evidence"/>
    <x:tableColumn id="5" name="Test evidence"/>
    <x:tableColumn id="6" name="Status"/>
    <x:tableColumn id="7" name="Defect ID"/>
  </x:tableColumns>
  <x:tableStyleInfo name="TableStyleMedium4" showFirstColumn="0" showLastColumn="0" showRowStripes="1" showColumnStripes="0"/>
</x:table>
</file>

<file path=xl/tables/table4.xml><?xml version="1.0" encoding="utf-8"?>
<x:table xmlns:x="http://schemas.openxmlformats.org/spreadsheetml/2006/main" id="3" name="DefectsTable" displayName="DefectsTable" ref="A5:K45" headerRowCount="1" totalsRowCount="0" totalsRowShown="0">
  <x:tableColumns count="11">
    <x:tableColumn id="1" name="ID"/>
    <x:tableColumn id="2" name="Severity"/>
    <x:tableColumn id="3" name="Area"/>
    <x:tableColumn id="4" name="Summary"/>
    <x:tableColumn id="5" name="Reproduction"/>
    <x:tableColumn id="6" name="Expected"/>
    <x:tableColumn id="7" name="Actual"/>
    <x:tableColumn id="8" name="Source evidence"/>
    <x:tableColumn id="9" name="Regression test"/>
    <x:tableColumn id="10" name="Fix commit"/>
    <x:tableColumn id="11" name="Status"/>
  </x:tableColumns>
  <x:tableStyleInfo name="TableStyleMedium4" showFirstColumn="0" showLastColumn="0" showRowStripes="1" showColumnStripes="0"/>
</x:table>
</file>

<file path=xl/tables/table5.xml><?xml version="1.0" encoding="utf-8"?>
<x:table xmlns:x="http://schemas.openxmlformats.org/spreadsheetml/2006/main" id="4" name="TestRunsTable" displayName="TestRunsTable" ref="A5:J15" headerRowCount="1" totalsRowCount="0" totalsRowShown="0">
  <x:tableColumns count="10">
    <x:tableColumn id="1" name="Run ID"/>
    <x:tableColumn id="2" name="Timestamp"/>
    <x:tableColumn id="3" name="Scope"/>
    <x:tableColumn id="4" name="Command / steps"/>
    <x:tableColumn id="5" name="Result"/>
    <x:tableColumn id="6" name="Pass"/>
    <x:tableColumn id="7" name="Fail"/>
    <x:tableColumn id="8" name="Blocked"/>
    <x:tableColumn id="9" name="Evidence"/>
    <x:tableColumn id="10" name="Notes"/>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f8b5c01e1d564221" /></Relationships>
</file>

<file path=xl/worksheets/_rels/sheet2.xml.rels>&#65279;<?xml version="1.0" encoding="utf-8"?><Relationships xmlns="http://schemas.openxmlformats.org/package/2006/relationships"><Relationship Type="http://schemas.openxmlformats.org/officeDocument/2006/relationships/table" Target="/xl/tables/table2.xml" Id="R4cf6f201d87741ab" /></Relationships>
</file>

<file path=xl/worksheets/_rels/sheet3.xml.rels>&#65279;<?xml version="1.0" encoding="utf-8"?><Relationships xmlns="http://schemas.openxmlformats.org/package/2006/relationships"><Relationship Type="http://schemas.openxmlformats.org/officeDocument/2006/relationships/table" Target="/xl/tables/table3.xml" Id="R5c6f8e049ecf4058" /></Relationships>
</file>

<file path=xl/worksheets/_rels/sheet4.xml.rels>&#65279;<?xml version="1.0" encoding="utf-8"?><Relationships xmlns="http://schemas.openxmlformats.org/package/2006/relationships"><Relationship Type="http://schemas.openxmlformats.org/officeDocument/2006/relationships/table" Target="/xl/tables/table4.xml" Id="R6b5e8c075fa94097" /></Relationships>
</file>

<file path=xl/worksheets/_rels/sheet5.xml.rels>&#65279;<?xml version="1.0" encoding="utf-8"?><Relationships xmlns="http://schemas.openxmlformats.org/package/2006/relationships"><Relationship Type="http://schemas.openxmlformats.org/officeDocument/2006/relationships/table" Target="/xl/tables/table5.xml" Id="Re6045080c0144812"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28" hidden="0" customWidth="1"/>
    <x:col min="3" max="3" width="20" hidden="0" customWidth="1"/>
    <x:col min="4" max="4" width="44" hidden="0" customWidth="1"/>
    <x:col min="5" max="5" width="14" hidden="0" customWidth="1"/>
    <x:col min="6" max="6" width="34" hidden="0" customWidth="1"/>
    <x:col min="7" max="7" width="18" hidden="0" customWidth="1"/>
    <x:col min="8" max="8" width="42" hidden="0" customWidth="1"/>
  </x:cols>
  <x:sheetData>
    <x:row r="1" ht="30" customHeight="1">
      <x:c r="A1" s="107" t="str">
        <x:v>NutFT feature audit</x:v>
      </x:c>
      <x:c r="B1" s="107"/>
      <x:c r="C1" s="107"/>
      <x:c r="D1" s="107"/>
      <x:c r="E1" s="107"/>
      <x:c r="F1" s="107"/>
      <x:c r="G1" s="107"/>
      <x:c r="H1" s="107"/>
    </x:row>
    <x:row r="2" ht="28" customHeight="1">
      <x:c r="A2" s="111" t="str">
        <x:v>Canonical current feature, protocol, defect, and test-run status · branch fix/nutft-user-story-audit</x:v>
      </x:c>
      <x:c r="B2" s="111"/>
      <x:c r="C2" s="111"/>
      <x:c r="D2" s="111"/>
      <x:c r="E2" s="111"/>
      <x:c r="F2" s="111"/>
      <x:c r="G2" s="111"/>
      <x:c r="H2" s="111"/>
    </x:row>
    <x:row r="3">
      <x:c r="A3"/>
      <x:c r="B3"/>
      <x:c r="C3"/>
      <x:c r="D3"/>
      <x:c r="E3"/>
      <x:c r="F3"/>
      <x:c r="G3"/>
      <x:c r="H3"/>
    </x:row>
    <x:row r="4">
      <x:c r="A4" s="85" t="str">
        <x:v>Branch</x:v>
      </x:c>
      <x:c r="B4" s="83" t="str">
        <x:v>fix/nutft-user-story-audit</x:v>
      </x:c>
      <x:c r="C4" s="83"/>
      <x:c r="D4" s="112" t="str">
        <x:v>User stories</x:v>
      </x:c>
      <x:c r="E4" s="112"/>
      <x:c r="F4" s="83"/>
      <x:c r="G4" s="113" t="str">
        <x:v>Open defects</x:v>
      </x:c>
      <x:c r="H4" s="113"/>
    </x:row>
    <x:row r="5">
      <x:c r="A5" s="85" t="str">
        <x:v>PR</x:v>
      </x:c>
      <x:c r="B5" s="83" t="str">
        <x:v>Draft pending first commit</x:v>
      </x:c>
      <x:c r="C5" s="83"/>
      <x:c r="D5" s="112" t="str">
        <x:v>Total</x:v>
      </x:c>
      <x:c r="E5" s="112" t="n">
        <x:f>COUNTA('User Stories'!$A$6:$A$600)</x:f>
        <x:v>284</x:v>
      </x:c>
      <x:c r="F5" s="83"/>
      <x:c r="G5" s="113" t="str">
        <x:v>Total open</x:v>
      </x:c>
      <x:c r="H5" s="113" t="n">
        <x:f>COUNTIFS('Defects'!$A$6:$A$500,"&lt;&gt;",'Defects'!$K$6:$K$500,"&lt;&gt;Verified",'Defects'!$K$6:$K$500,"&lt;&gt;Triaged")</x:f>
        <x:v>0</x:v>
      </x:c>
    </x:row>
    <x:row r="6">
      <x:c r="A6" s="85" t="str">
        <x:v>NUT-31 source</x:v>
      </x:c>
      <x:c r="B6" s="83" t="str">
        <x:v>NutFT/31.md</x:v>
      </x:c>
      <x:c r="C6" s="83"/>
      <x:c r="D6" s="112" t="str">
        <x:v>Pass</x:v>
      </x:c>
      <x:c r="E6" s="112" t="n">
        <x:f>COUNTIF('User Stories'!$K$6:$K$600,"Pass")</x:f>
        <x:v>0</x:v>
      </x:c>
      <x:c r="F6" s="83"/>
      <x:c r="G6" s="113" t="str">
        <x:v>Critical</x:v>
      </x:c>
      <x:c r="H6" s="113" t="n">
        <x:f>COUNTIFS('Defects'!$B$6:$B$500,"Critical",'Defects'!$K$6:$K$500,"&lt;&gt;Verified",'Defects'!$K$6:$K$500,"&lt;&gt;Triaged")</x:f>
        <x:v>0</x:v>
      </x:c>
    </x:row>
    <x:row r="7">
      <x:c r="A7" s="85" t="str">
        <x:v>Demo profile</x:v>
      </x:c>
      <x:c r="B7" s="83" t="str">
        <x:v>NutFT/docs/demo-spec.md</x:v>
      </x:c>
      <x:c r="C7" s="83"/>
      <x:c r="D7" s="112" t="str">
        <x:v>Fail</x:v>
      </x:c>
      <x:c r="E7" s="112" t="n">
        <x:f>COUNTIF('User Stories'!$K$6:$K$600,"Fail")</x:f>
        <x:v>0</x:v>
      </x:c>
      <x:c r="F7" s="83"/>
      <x:c r="G7" s="113" t="str">
        <x:v>High</x:v>
      </x:c>
      <x:c r="H7" s="113" t="n">
        <x:f>COUNTIFS('Defects'!$B$6:$B$500,"High",'Defects'!$K$6:$K$500,"&lt;&gt;Verified",'Defects'!$K$6:$K$500,"&lt;&gt;Triaged")</x:f>
        <x:v>0</x:v>
      </x:c>
    </x:row>
    <x:row r="8">
      <x:c r="A8" s="85" t="str">
        <x:v>Baseline commit</x:v>
      </x:c>
      <x:c r="B8" s="83" t="str">
        <x:v>04dc857</x:v>
      </x:c>
      <x:c r="C8" s="83"/>
      <x:c r="D8" s="112" t="str">
        <x:v>Not Run</x:v>
      </x:c>
      <x:c r="E8" s="112" t="n">
        <x:f>COUNTIF('User Stories'!$K$6:$K$600,"Not Run")</x:f>
        <x:v>284</x:v>
      </x:c>
      <x:c r="F8" s="83"/>
      <x:c r="G8" s="113" t="str">
        <x:v>Medium</x:v>
      </x:c>
      <x:c r="H8" s="113" t="n">
        <x:f>COUNTIFS('Defects'!$B$6:$B$500,"Medium",'Defects'!$K$6:$K$500,"&lt;&gt;Verified",'Defects'!$K$6:$K$500,"&lt;&gt;Triaged")</x:f>
        <x:v>0</x:v>
      </x:c>
    </x:row>
    <x:row r="9">
      <x:c r="A9" s="85" t="str">
        <x:v>Last updated</x:v>
      </x:c>
      <x:c r="B9" s="84" t="n">
        <x:v>46254</x:v>
      </x:c>
      <x:c r="C9" s="83"/>
      <x:c r="D9" s="112" t="str">
        <x:v>Blocked</x:v>
      </x:c>
      <x:c r="E9" s="112" t="n">
        <x:f>COUNTIF('User Stories'!$K$6:$K$600,"Blocked")</x:f>
        <x:v>0</x:v>
      </x:c>
      <x:c r="F9" s="83"/>
      <x:c r="G9" s="113" t="str">
        <x:v>Low</x:v>
      </x:c>
      <x:c r="H9" s="113" t="n">
        <x:f>COUNTIFS('Defects'!$B$6:$B$500,"Low",'Defects'!$K$6:$K$500,"&lt;&gt;Verified",'Defects'!$K$6:$K$500,"&lt;&gt;Triaged")</x:f>
        <x:v>0</x:v>
      </x:c>
    </x:row>
    <x:row r="10">
      <x:c r="A10"/>
      <x:c r="B10"/>
      <x:c r="C10"/>
      <x:c r="D10"/>
      <x:c r="E10"/>
      <x:c r="F10"/>
      <x:c r="G10"/>
      <x:c r="H10"/>
    </x:row>
    <x:row r="11" ht="36" customHeight="1">
      <x:c r="A11" s="117" t="str">
        <x:v>Current gate: INVENTORY COMPLETE. 284 code-backed user stories and 26 NUT-31/demo requirements await fresh baseline execution.</x:v>
      </x:c>
      <x:c r="B11" s="117"/>
      <x:c r="C11" s="117"/>
      <x:c r="D11" s="117"/>
      <x:c r="E11" s="117"/>
      <x:c r="F11" s="117"/>
      <x:c r="G11" s="117"/>
      <x:c r="H11" s="117"/>
    </x:row>
    <x:row r="12">
      <x:c r="A12"/>
      <x:c r="B12"/>
      <x:c r="C12"/>
      <x:c r="D12"/>
      <x:c r="E12"/>
      <x:c r="F12"/>
      <x:c r="G12"/>
      <x:c r="H12"/>
    </x:row>
    <x:row r="13" ht="15" hidden="0" customHeight="1">
      <x:c r="A13" s="53" t="str">
        <x:v>Phase</x:v>
      </x:c>
      <x:c r="B13" s="53" t="str">
        <x:v>Status</x:v>
      </x:c>
      <x:c r="C13" s="53" t="str">
        <x:v>Evidence</x:v>
      </x:c>
      <x:c r="D13" s="53" t="str">
        <x:v>Next</x:v>
      </x:c>
      <x:c r="E13" s="53" t="str">
        <x:v>Owner</x:v>
      </x:c>
      <x:c r="F13" s="53" t="str">
        <x:v>Spec gate</x:v>
      </x:c>
      <x:c r="G13" s="53" t="str">
        <x:v>PR</x:v>
      </x:c>
      <x:c r="H13" s="53" t="str">
        <x:v>Notes</x:v>
      </x:c>
    </x:row>
    <x:row r="14" ht="26.399999618530273" hidden="0" customHeight="1">
      <x:c r="A14" s="53" t="str">
        <x:v>Inventory</x:v>
      </x:c>
      <x:c r="B14" s="53" t="str">
        <x:v>Complete</x:v>
      </x:c>
      <x:c r="C14" s="53" t="str">
        <x:v>284 current stories · 26 protocol rows</x:v>
      </x:c>
      <x:c r="D14" s="53" t="str">
        <x:v>None</x:v>
      </x:c>
      <x:c r="E14" s="53" t="str">
        <x:v>Parent</x:v>
      </x:c>
      <x:c r="F14" s="53" t="str">
        <x:v>Every coded feature has a story</x:v>
      </x:c>
      <x:c r="G14" s="53" t="str">
        <x:v>Pending</x:v>
      </x:c>
      <x:c r="H14" s="53" t="str">
        <x:v>Historical 78-story workbook reconciled to current HEAD</x:v>
      </x:c>
    </x:row>
    <x:row r="15" ht="26.399999618530273" hidden="0" customHeight="1">
      <x:c r="A15" s="53" t="str">
        <x:v>Pre-fix testing</x:v>
      </x:c>
      <x:c r="B15" s="53" t="str">
        <x:v>Pending</x:v>
      </x:c>
      <x:c r="C15" s="53" t="str">
        <x:v>No fresh run yet</x:v>
      </x:c>
      <x:c r="D15" s="53" t="str">
        <x:v>Execute every story through grouped automated/browser evidence</x:v>
      </x:c>
      <x:c r="E15" s="53" t="str">
        <x:v>Parent</x:v>
      </x:c>
      <x:c r="F15" s="53" t="str">
        <x:v>Every baseline failure recorded</x:v>
      </x:c>
      <x:c r="G15" s="53" t="str">
        <x:v>Pending</x:v>
      </x:c>
      <x:c r="H15" s="53" t="str">
        <x:v>Old pass cells were reset</x:v>
      </x:c>
    </x:row>
    <x:row r="16" ht="15" hidden="0" customHeight="1">
      <x:c r="A16" s="53" t="str">
        <x:v>TDD fixes</x:v>
      </x:c>
      <x:c r="B16" s="53" t="str">
        <x:v>Pending</x:v>
      </x:c>
      <x:c r="C16" s="53" t="str">
        <x:v>No current fixes</x:v>
      </x:c>
      <x:c r="D16" s="53" t="str">
        <x:v>Write failing checks for reproduced logistics/UX defects</x:v>
      </x:c>
      <x:c r="E16" s="53" t="str">
        <x:v>Parent</x:v>
      </x:c>
      <x:c r="F16" s="53" t="str">
        <x:v>No untested fix</x:v>
      </x:c>
      <x:c r="G16" s="53" t="str">
        <x:v>Pending</x:v>
      </x:c>
      <x:c r="H16" s="53" t="str">
        <x:v>Small root-cause commits only</x:v>
      </x:c>
    </x:row>
    <x:row r="17" ht="15" hidden="0" customHeight="1">
      <x:c r="A17" s="53" t="str">
        <x:v>Post-fix retest</x:v>
      </x:c>
      <x:c r="B17" s="53" t="str">
        <x:v>Pending</x:v>
      </x:c>
      <x:c r="C17" s="53" t="str">
        <x:v>No current retest</x:v>
      </x:c>
      <x:c r="D17" s="53" t="str">
        <x:v>Rerun every story after fixes</x:v>
      </x:c>
      <x:c r="E17" s="53" t="str">
        <x:v>Parent</x:v>
      </x:c>
      <x:c r="F17" s="53" t="str">
        <x:v>Every current story re-evidenced</x:v>
      </x:c>
      <x:c r="G17" s="53" t="str">
        <x:v>Pending</x:v>
      </x:c>
      <x:c r="H17" s="53" t="str"/>
    </x:row>
    <x:row r="18" ht="26.399999618530273" hidden="0" customHeight="1">
      <x:c r="A18" s="53" t="str">
        <x:v>Completion audit</x:v>
      </x:c>
      <x:c r="B18" s="53" t="str">
        <x:v>Pending</x:v>
      </x:c>
      <x:c r="C18" s="53" t="str">
        <x:v>Workbook and branch not yet final</x:v>
      </x:c>
      <x:c r="D18" s="53" t="str">
        <x:v>Close only when tracker, tests and PR agree</x:v>
      </x:c>
      <x:c r="E18" s="53" t="str">
        <x:v>Parent</x:v>
      </x:c>
      <x:c r="F18" s="53" t="str">
        <x:v>Specs + code + evidence agree</x:v>
      </x:c>
      <x:c r="G18" s="53" t="str">
        <x:v>Pending</x:v>
      </x:c>
      <x:c r="H18" s="53" t="str"/>
    </x:row>
  </x:sheetData>
  <x:mergeCells>
    <x:mergeCell ref="A1:H1"/>
    <x:mergeCell ref="A2:H2"/>
    <x:mergeCell ref="A11:H11"/>
  </x:mergeCells>
  <x:pageMargins left="0.7" right="0.7" top="0.75" bottom="0.75" header="0.3" footer="0.3"/>
  <x:tableParts count="1">
    <x:tablePart xmlns:r="http://schemas.openxmlformats.org/officeDocument/2006/relationships" r:id="Rf8b5c01e1d564221"/>
  </x:tableParts>
</x:worksheet>
</file>

<file path=xl/worksheets/sheet2.xml><?xml version="1.0" encoding="utf-8"?>
<x:worksheet xmlns:x="http://schemas.openxmlformats.org/spreadsheetml/2006/main">
  <x:sheetViews>
    <x:sheetView showGridLines="0" workbookViewId="0"/>
  </x:sheetViews>
  <x:sheetFormatPr defaultRowHeight="15"/>
  <x:cols>
    <x:col min="1" max="1" width="16" hidden="0" customWidth="1"/>
    <x:col min="2" max="2" width="22" hidden="0" customWidth="1"/>
    <x:col min="3" max="3" width="24" hidden="0" customWidth="1"/>
    <x:col min="4" max="4" width="44" hidden="0" customWidth="1"/>
    <x:col min="5" max="5" width="64" hidden="0" customWidth="1"/>
    <x:col min="6" max="6" width="32" hidden="0" customWidth="1"/>
    <x:col min="7" max="7" width="42" hidden="0" customWidth="1"/>
    <x:col min="8" max="8" width="40" hidden="0" customWidth="1"/>
    <x:col min="9" max="9" width="52" hidden="0" customWidth="1"/>
    <x:col min="10" max="10" width="15" hidden="0" customWidth="1"/>
    <x:col min="11" max="11" width="15" hidden="0" customWidth="1"/>
    <x:col min="12" max="12" width="16" hidden="0" customWidth="1"/>
    <x:col min="13" max="13" width="18" hidden="0" customWidth="1"/>
    <x:col min="14" max="14" width="54" hidden="0" customWidth="1"/>
    <x:col min="15" max="15" width="42" hidden="0" customWidth="1"/>
  </x:cols>
  <x:sheetData>
    <x:row r="1" ht="30" hidden="0" customHeight="1">
      <x:c r="A1" s="107" t="str">
        <x:v>NutFT app user stories</x:v>
      </x:c>
      <x:c r="B1" s="107"/>
      <x:c r="C1" s="107"/>
      <x:c r="D1" s="107"/>
      <x:c r="E1" s="107"/>
      <x:c r="F1" s="107"/>
      <x:c r="G1" s="107"/>
      <x:c r="H1" s="107"/>
      <x:c r="I1" s="107"/>
      <x:c r="J1" s="107"/>
      <x:c r="K1" s="107"/>
      <x:c r="L1" s="107"/>
      <x:c r="M1" s="107"/>
      <x:c r="N1" s="107"/>
      <x:c r="O1" s="107"/>
      <x:c r="P1"/>
      <x:c r="Q1"/>
      <x:c r="R1"/>
      <x:c r="S1"/>
      <x:c r="T1"/>
      <x:c r="U1"/>
      <x:c r="V1"/>
      <x:c r="W1"/>
      <x:c r="X1"/>
      <x:c r="Y1"/>
      <x:c r="Z1"/>
    </x:row>
    <x:row r="2" ht="28" hidden="0" customHeight="1">
      <x:c r="A2" s="111" t="str">
        <x:v>Current code-backed feature inventory. Baseline and current status change only when a recorded run exercises the expected behavior.</x:v>
      </x:c>
      <x:c r="B2" s="111"/>
      <x:c r="C2" s="111"/>
      <x:c r="D2" s="111"/>
      <x:c r="E2" s="111"/>
      <x:c r="F2" s="111"/>
      <x:c r="G2" s="111"/>
      <x:c r="H2" s="111"/>
      <x:c r="I2" s="111"/>
      <x:c r="J2" s="111"/>
      <x:c r="K2" s="111"/>
      <x:c r="L2" s="111"/>
      <x:c r="M2" s="111"/>
      <x:c r="N2" s="111"/>
      <x:c r="O2" s="111"/>
      <x:c r="P2"/>
      <x:c r="Q2"/>
      <x:c r="R2"/>
      <x:c r="S2"/>
      <x:c r="T2"/>
      <x:c r="U2"/>
      <x:c r="V2"/>
      <x:c r="W2"/>
      <x:c r="X2"/>
      <x:c r="Y2"/>
      <x:c r="Z2"/>
    </x:row>
    <x:row r="3" ht="15" hidden="0" customHeight="1">
      <x:c r="A3"/>
      <x:c r="B3"/>
      <x:c r="C3"/>
      <x:c r="D3"/>
      <x:c r="E3"/>
      <x:c r="F3"/>
      <x:c r="G3"/>
      <x:c r="H3"/>
      <x:c r="I3"/>
      <x:c r="J3"/>
      <x:c r="K3"/>
      <x:c r="L3"/>
      <x:c r="M3"/>
      <x:c r="N3"/>
      <x:c r="O3"/>
    </x:row>
    <x:row r="4" ht="15" hidden="0" customHeight="1">
      <x:c r="A4"/>
      <x:c r="B4"/>
      <x:c r="C4"/>
      <x:c r="D4"/>
      <x:c r="E4"/>
      <x:c r="F4"/>
      <x:c r="G4"/>
      <x:c r="H4"/>
      <x:c r="I4"/>
      <x:c r="J4"/>
      <x:c r="K4"/>
      <x:c r="L4"/>
      <x:c r="M4"/>
      <x:c r="N4"/>
      <x:c r="O4"/>
    </x:row>
    <x:row r="5" ht="15" hidden="0" customHeight="1">
      <x:c r="A5" s="79" t="str">
        <x:v>ID</x:v>
      </x:c>
      <x:c r="B5" s="79" t="str">
        <x:v>Area</x:v>
      </x:c>
      <x:c r="C5" s="79" t="str">
        <x:v>Persona</x:v>
      </x:c>
      <x:c r="D5" s="79" t="str">
        <x:v>User story</x:v>
      </x:c>
      <x:c r="E5" s="79" t="str">
        <x:v>Expected behaviour</x:v>
      </x:c>
      <x:c r="F5" s="79" t="str">
        <x:v>Route / surface</x:v>
      </x:c>
      <x:c r="G5" s="79" t="str">
        <x:v>Preconditions</x:v>
      </x:c>
      <x:c r="H5" s="79" t="str">
        <x:v>Interaction / evidence</x:v>
      </x:c>
      <x:c r="I5" s="79" t="str">
        <x:v>Automated check</x:v>
      </x:c>
      <x:c r="J5" s="79" t="str">
        <x:v>Baseline status</x:v>
      </x:c>
      <x:c r="K5" s="79" t="str">
        <x:v>Current status</x:v>
      </x:c>
      <x:c r="L5" s="79" t="str">
        <x:v>Last tested</x:v>
      </x:c>
      <x:c r="M5" s="79" t="str">
        <x:v>Defect IDs</x:v>
      </x:c>
      <x:c r="N5" s="79" t="str">
        <x:v>Notes</x:v>
      </x:c>
      <x:c r="O5" s="79" t="str">
        <x:v>Source</x:v>
      </x:c>
    </x:row>
    <x:row r="6" ht="21.600000381469727" hidden="0" customHeight="1">
      <x:c r="A6" s="80" t="str">
        <x:v>DECK-US-001</x:v>
      </x:c>
      <x:c r="B6" s="80" t="str">
        <x:v>Stack Builder</x:v>
      </x:c>
      <x:c r="C6" s="80" t="str">
        <x:v>player</x:v>
      </x:c>
      <x:c r="D6" s="80" t="str">
        <x:v>As a player, I can open Stacks and navigate across the app.</x:v>
      </x:c>
      <x:c r="E6" s="80" t="str">
        <x:v>The page loads as “Stacks &amp; Collection”, has a skip link, site navigation, and links to Play, online play, Shop, Cards, Rules, Lore and Leaderboard. Implemented statically.</x:v>
      </x:c>
      <x:c r="F6" s="80" t="str">
        <x:v>/deck.html and handoffs</x:v>
      </x:c>
      <x:c r="G6" s="80" t="str">
        <x:v>A visitor opens Stacks; any page shell or plain website is available.</x:v>
      </x:c>
      <x:c r="H6" s="80" t="str">
        <x:v>open Stacks and navigate across the app</x:v>
      </x:c>
      <x:c r="I6" s="80" t="str">
        <x:v>No direct DOM test.</x:v>
      </x:c>
      <x:c r="J6" s="80" t="str">
        <x:v>Not Run</x:v>
      </x:c>
      <x:c r="K6" s="80" t="str">
        <x:v>Not Run</x:v>
      </x:c>
      <x:c r="L6" s="80"/>
      <x:c r="M6" s="80"/>
      <x:c r="N6" s="80" t="str">
        <x:v>Visual/navigation regression is untested.</x:v>
      </x:c>
      <x:c r="O6" s="80" t="str">
        <x:v>site/deck.html:1-18,245-259,361-366</x:v>
      </x:c>
    </x:row>
    <x:row r="7" ht="21.600000381469727" hidden="0" customHeight="1">
      <x:c r="A7" s="80" t="str">
        <x:v>DECK-US-002</x:v>
      </x:c>
      <x:c r="B7" s="80" t="str">
        <x:v>Stack Builder</x:v>
      </x:c>
      <x:c r="C7" s="80" t="str">
        <x:v>player</x:v>
      </x:c>
      <x:c r="D7" s="80" t="str">
        <x:v>As a player, I can browse the complete Edition One card pool.</x:v>
      </x:c>
      <x:c r="E7" s="80" t="str">
        <x:v>The browser renders all E1_CARDS (currently 295), with card face, ID/name metadata, cost chip, affinity rail, lazy images, and result count. Implemented.</x:v>
      </x:c>
      <x:c r="F7" s="80" t="str">
        <x:v>/deck.html and handoffs</x:v>
      </x:c>
      <x:c r="G7" s="80" t="str">
        <x:v>A visitor opens the builder with the generated E1 catalog loaded.</x:v>
      </x:c>
      <x:c r="H7" s="80" t="str">
        <x:v>browse the complete Edition One card pool</x:v>
      </x:c>
      <x:c r="I7" s="80" t="str">
        <x:v>No direct builder test.</x:v>
      </x:c>
      <x:c r="J7" s="80" t="str">
        <x:v>Not Run</x:v>
      </x:c>
      <x:c r="K7" s="80" t="str">
        <x:v>Not Run</x:v>
      </x:c>
      <x:c r="L7" s="80"/>
      <x:c r="M7" s="80"/>
      <x:c r="N7" s="80" t="str">
        <x:v>resultCount is code-backed but the initial 295-card promise is not asserted in a UI test.</x:v>
      </x:c>
      <x:c r="O7" s="80" t="str">
        <x:v>site/deck.html:377-378,433-460,736-853; site/play-data.js:1-4</x:v>
      </x:c>
    </x:row>
    <x:row r="8" ht="21.600000381469727" hidden="0" customHeight="1">
      <x:c r="A8" s="80" t="str">
        <x:v>DECK-US-003</x:v>
      </x:c>
      <x:c r="B8" s="80" t="str">
        <x:v>Stack Builder</x:v>
      </x:c>
      <x:c r="C8" s="80" t="str">
        <x:v>player</x:v>
      </x:c>
      <x:c r="D8" s="80" t="str">
        <x:v>As a player, I can search cards by one or more terms.</x:v>
      </x:c>
      <x:c r="E8" s="80" t="str">
        <x:v>Search is trimmed, split into lowercase terms, debounced 90 ms, and matches ID, name, type/subtype, affinities, rarity, cost, keywords, rules text, flavor and help; every term must match. Implemented.</x:v>
      </x:c>
      <x:c r="F8" s="80" t="str">
        <x:v>/deck.html and handoffs</x:v>
      </x:c>
      <x:c r="G8" s="80" t="str">
        <x:v>A visitor searches by one or more terms.</x:v>
      </x:c>
      <x:c r="H8" s="80" t="str">
        <x:v>search cards by one or more terms</x:v>
      </x:c>
      <x:c r="I8" s="80" t="str">
        <x:v>No direct builder test.</x:v>
      </x:c>
      <x:c r="J8" s="80" t="str">
        <x:v>Not Run</x:v>
      </x:c>
      <x:c r="K8" s="80" t="str">
        <x:v>Not Run</x:v>
      </x:c>
      <x:c r="L8" s="80"/>
      <x:c r="M8" s="80"/>
      <x:c r="N8" s="80" t="str">
        <x:v>Search behavior is not covered by automated DOM tests.</x:v>
      </x:c>
      <x:c r="O8" s="80" t="str">
        <x:v>site/deck.html:444-454,710-719,1064-1073</x:v>
      </x:c>
    </x:row>
    <x:row r="9" ht="21.600000381469727" hidden="0" customHeight="1">
      <x:c r="A9" s="80" t="str">
        <x:v>DECK-US-004</x:v>
      </x:c>
      <x:c r="B9" s="80" t="str">
        <x:v>Stack Builder</x:v>
      </x:c>
      <x:c r="C9" s="80" t="str">
        <x:v>player</x:v>
      </x:c>
      <x:c r="D9" s="80" t="str">
        <x:v>As a player, I can sort the visible card pool.</x:v>
      </x:c>
      <x:c r="E9" s="80" t="str">
        <x:v>Set number, total printed cost, name A–Z, rarity (rare first), or card type order the visible cards with deterministic name/ID tie-breaks; resources sort before zero-cost cards. Implemented.</x:v>
      </x:c>
      <x:c r="F9" s="80" t="str">
        <x:v>/deck.html and handoffs</x:v>
      </x:c>
      <x:c r="G9" s="80" t="str">
        <x:v>A visitor selects a sort order.</x:v>
      </x:c>
      <x:c r="H9" s="80" t="str">
        <x:v>sort the visible card pool</x:v>
      </x:c>
      <x:c r="I9" s="80" t="str">
        <x:v>No direct builder test.</x:v>
      </x:c>
      <x:c r="J9" s="80" t="str">
        <x:v>Not Run</x:v>
      </x:c>
      <x:c r="K9" s="80" t="str">
        <x:v>Not Run</x:v>
      </x:c>
      <x:c r="L9" s="80"/>
      <x:c r="M9" s="80"/>
      <x:c r="N9" s="80" t="str">
        <x:v>Total-cost treatment of X costs is documented in code but not surfaced to the user.</x:v>
      </x:c>
      <x:c r="O9" s="80" t="str">
        <x:v>site/deck.html:269-275,722-734,847-853</x:v>
      </x:c>
    </x:row>
    <x:row r="10" ht="21.600000381469727" hidden="0" customHeight="1">
      <x:c r="A10" s="80" t="str">
        <x:v>DECK-US-005</x:v>
      </x:c>
      <x:c r="B10" s="80" t="str">
        <x:v>Stack Builder</x:v>
      </x:c>
      <x:c r="C10" s="80" t="str">
        <x:v>player</x:v>
      </x:c>
      <x:c r="D10" s="80" t="str">
        <x:v>As a player, I can filter cards by affinity.</x:v>
      </x:c>
      <x:c r="E10" s="80" t="str">
        <x:v>Affinity chips are multi-select; All clears only affinity selections; selected state is reflected through CSS and aria-pressed. Implemented.</x:v>
      </x:c>
      <x:c r="F10" s="80" t="str">
        <x:v>/deck.html and handoffs</x:v>
      </x:c>
      <x:c r="G10" s="80" t="str">
        <x:v>A visitor toggles affinity chips or All.</x:v>
      </x:c>
      <x:c r="H10" s="80" t="str">
        <x:v>filter cards by affinity</x:v>
      </x:c>
      <x:c r="I10" s="80" t="str">
        <x:v>No direct builder test.</x:v>
      </x:c>
      <x:c r="J10" s="80" t="str">
        <x:v>Not Run</x:v>
      </x:c>
      <x:c r="K10" s="80" t="str">
        <x:v>Not Run</x:v>
      </x:c>
      <x:c r="L10" s="80"/>
      <x:c r="M10" s="80"/>
      <x:c r="N10" s="80" t="str">
        <x:v>“All” may be read as clearing every filter, but it only clears affinity. Clear filters is the actual global reset.</x:v>
      </x:c>
      <x:c r="O10" s="80" t="str">
        <x:v>site/deck.html:426-430,640-697,663-674</x:v>
      </x:c>
    </x:row>
    <x:row r="11" ht="21.600000381469727" hidden="0" customHeight="1">
      <x:c r="A11" s="80" t="str">
        <x:v>DECK-US-006</x:v>
      </x:c>
      <x:c r="B11" s="80" t="str">
        <x:v>Stack Builder</x:v>
      </x:c>
      <x:c r="C11" s="80" t="str">
        <x:v>player</x:v>
      </x:c>
      <x:c r="D11" s="80" t="str">
        <x:v>As a player, I can use type, cost, and rarity filters.</x:v>
      </x:c>
      <x:c r="E11" s="80" t="str">
        <x:v>Type, cost (—, 0–6+), and rarity facets are generated from catalog data; a badge reports active secondary facet count. Implemented.</x:v>
      </x:c>
      <x:c r="F11" s="80" t="str">
        <x:v>/deck.html and handoffs</x:v>
      </x:c>
      <x:c r="G11" s="80" t="str">
        <x:v>A visitor opens More filters and chooses card type, cost bucket, or rarity.</x:v>
      </x:c>
      <x:c r="H11" s="80" t="str">
        <x:v>use type, cost, and rarity filters</x:v>
      </x:c>
      <x:c r="I11" s="80" t="str">
        <x:v>No direct builder test.</x:v>
      </x:c>
      <x:c r="J11" s="80" t="str">
        <x:v>Not Run</x:v>
      </x:c>
      <x:c r="K11" s="80" t="str">
        <x:v>Not Run</x:v>
      </x:c>
      <x:c r="L11" s="80"/>
      <x:c r="M11" s="80"/>
      <x:c r="N11" s="80" t="str">
        <x:v>No UI test verifies facet values stay in sync with regenerated catalog data.</x:v>
      </x:c>
      <x:c r="O11" s="80" t="str">
        <x:v>site/deck.html:282-287,457-460,669-671,692-697</x:v>
      </x:c>
    </x:row>
    <x:row r="12" ht="21.600000381469727" hidden="0" customHeight="1">
      <x:c r="A12" s="80" t="str">
        <x:v>DECK-US-007</x:v>
      </x:c>
      <x:c r="B12" s="80" t="str">
        <x:v>Stack Builder</x:v>
      </x:c>
      <x:c r="C12" s="80" t="str">
        <x:v>player</x:v>
      </x:c>
      <x:c r="D12" s="80" t="str">
        <x:v>As a player, I can filter to cards already in my Stack.</x:v>
      </x:c>
      <x:c r="E12" s="80" t="str">
        <x:v>The In Stack chip appears, filters to cards with a positive count, and disappears/resets when the Stack becomes empty. Implemented.</x:v>
      </x:c>
      <x:c r="F12" s="80" t="str">
        <x:v>/deck.html and handoffs</x:v>
      </x:c>
      <x:c r="G12" s="80" t="str">
        <x:v>A visitor has at least one card in the current Stack.</x:v>
      </x:c>
      <x:c r="H12" s="80" t="str">
        <x:v>filter to cards already in my Stack</x:v>
      </x:c>
      <x:c r="I12" s="80" t="str">
        <x:v>No direct builder test.</x:v>
      </x:c>
      <x:c r="J12" s="80" t="str">
        <x:v>Not Run</x:v>
      </x:c>
      <x:c r="K12" s="80" t="str">
        <x:v>Not Run</x:v>
      </x:c>
      <x:c r="L12" s="80"/>
      <x:c r="M12" s="80"/>
      <x:c r="N12" s="80" t="str">
        <x:v>None beyond missing DOM coverage.</x:v>
      </x:c>
      <x:c r="O12" s="80" t="str">
        <x:v>site/deck.html:276,699-703,710-719,981-984</x:v>
      </x:c>
    </x:row>
    <x:row r="13" ht="21.600000381469727" hidden="0" customHeight="1">
      <x:c r="A13" s="80" t="str">
        <x:v>DECK-US-008</x:v>
      </x:c>
      <x:c r="B13" s="80" t="str">
        <x:v>Stack Builder</x:v>
      </x:c>
      <x:c r="C13" s="80" t="str">
        <x:v>player</x:v>
      </x:c>
      <x:c r="D13" s="80" t="str">
        <x:v>As a player, I can clear discovery state and use keyboard shortcuts.</x:v>
      </x:c>
      <x:c r="E13" s="80" t="str">
        <x:v>Clear filters empties search and every facet, restores the full grid, and focuses search; / focuses/selects search when not typing; Escape clears the search field. Implemented, partially ambiguous.</x:v>
      </x:c>
      <x:c r="F13" s="80" t="str">
        <x:v>/deck.html and handoffs</x:v>
      </x:c>
      <x:c r="G13" s="80" t="str">
        <x:v>A visitor wants to reset discovery state or use keyboard navigation.</x:v>
      </x:c>
      <x:c r="H13" s="80" t="str">
        <x:v>clear discovery state and use keyboard shortcuts</x:v>
      </x:c>
      <x:c r="I13" s="80" t="str">
        <x:v>No direct builder test.</x:v>
      </x:c>
      <x:c r="J13" s="80" t="str">
        <x:v>Not Run</x:v>
      </x:c>
      <x:c r="K13" s="80" t="str">
        <x:v>Not Run</x:v>
      </x:c>
      <x:c r="L13" s="80"/>
      <x:c r="M13" s="80"/>
      <x:c r="N13" s="80" t="str">
        <x:v>Hint says “Esc clears” but Escape clears only search, not active facets or In Stack.</x:v>
      </x:c>
      <x:c r="O13" s="80" t="str">
        <x:v>site/deck.html:1076-1105; hint at site/deck.html:277</x:v>
      </x:c>
    </x:row>
    <x:row r="14" ht="21.600000381469727" hidden="0" customHeight="1">
      <x:c r="A14" s="80" t="str">
        <x:v>DECK-US-009</x:v>
      </x:c>
      <x:c r="B14" s="80" t="str">
        <x:v>Stack Builder</x:v>
      </x:c>
      <x:c r="C14" s="80" t="str">
        <x:v>player</x:v>
      </x:c>
      <x:c r="D14" s="80" t="str">
        <x:v>As a player, I can understand when filters match no cards.</x:v>
      </x:c>
      <x:c r="E14" s="80" t="str">
        <x:v>Result status remains live, clear-filters appears when state is active, and “Nothing matches” is shown when the visible list is empty. Implemented.</x:v>
      </x:c>
      <x:c r="F14" s="80" t="str">
        <x:v>/deck.html and handoffs</x:v>
      </x:c>
      <x:c r="G14" s="80" t="str">
        <x:v>A visitor applies filters that match no cards.</x:v>
      </x:c>
      <x:c r="H14" s="80" t="str">
        <x:v>understand when filters match no cards</x:v>
      </x:c>
      <x:c r="I14" s="80" t="str">
        <x:v>No direct builder test.</x:v>
      </x:c>
      <x:c r="J14" s="80" t="str">
        <x:v>Not Run</x:v>
      </x:c>
      <x:c r="K14" s="80" t="str">
        <x:v>Not Run</x:v>
      </x:c>
      <x:c r="L14" s="80"/>
      <x:c r="M14" s="80"/>
      <x:c r="N14" s="80" t="str">
        <x:v>0 of 295 does not explain whether zero is caused by OG ownership filtering versus user facets.</x:v>
      </x:c>
      <x:c r="O14" s="80" t="str">
        <x:v>site/deck.html:289-297,837-853</x:v>
      </x:c>
    </x:row>
    <x:row r="15" ht="21.600000381469727" hidden="0" customHeight="1">
      <x:c r="A15" s="80" t="str">
        <x:v>DECK-US-010</x:v>
      </x:c>
      <x:c r="B15" s="80" t="str">
        <x:v>Stack Builder</x:v>
      </x:c>
      <x:c r="C15" s="80" t="str">
        <x:v>player</x:v>
      </x:c>
      <x:c r="D15" s="80" t="str">
        <x:v>As a player, I can add card copies from the grid.</x:v>
      </x:c>
      <x:c r="E15" s="80" t="str">
        <x:v>One copy is added; the tile badge, border, minus control, Stack count, meter, breakdown and result subcount update. Implemented.</x:v>
      </x:c>
      <x:c r="F15" s="80" t="str">
        <x:v>/deck.html and handoffs</x:v>
      </x:c>
      <x:c r="G15" s="80" t="str">
        <x:v>A visitor clicks/taps a playable card or focuses it and presses Enter/Space.</x:v>
      </x:c>
      <x:c r="H15" s="80" t="str">
        <x:v>add card copies from the grid</x:v>
      </x:c>
      <x:c r="I15" s="80" t="str">
        <x:v>Engine contract: tests/js/deck.test.mjs:42-46.</x:v>
      </x:c>
      <x:c r="J15" s="80" t="str">
        <x:v>Not Run</x:v>
      </x:c>
      <x:c r="K15" s="80" t="str">
        <x:v>Not Run</x:v>
      </x:c>
      <x:c r="L15" s="80"/>
      <x:c r="M15" s="80"/>
      <x:c r="N15" s="80" t="str">
        <x:v>UI add-path has no browser test.</x:v>
      </x:c>
      <x:c r="O15" s="80" t="str">
        <x:v>site/deck.html:741-768,807-816,823-853,855-862</x:v>
      </x:c>
    </x:row>
    <x:row r="16" ht="21.600000381469727" hidden="0" customHeight="1">
      <x:c r="A16" s="80" t="str">
        <x:v>DECK-US-011</x:v>
      </x:c>
      <x:c r="B16" s="80" t="str">
        <x:v>Stack Builder</x:v>
      </x:c>
      <x:c r="C16" s="80" t="str">
        <x:v>player</x:v>
      </x:c>
      <x:c r="D16" s="80" t="str">
        <x:v>As a player, I can remove card copies from the grid or Stack list.</x:v>
      </x:c>
      <x:c r="E16" s="80" t="str">
        <x:v>The minus button removes exactly one copy; a zero-count card disappears from the Stack list and its tile badge/minus are hidden. Implemented.</x:v>
      </x:c>
      <x:c r="F16" s="80" t="str">
        <x:v>/deck.html and handoffs</x:v>
      </x:c>
      <x:c r="G16" s="80" t="str">
        <x:v>A visitor removes a card from its tile or Stack row.</x:v>
      </x:c>
      <x:c r="H16" s="80" t="str">
        <x:v>remove card copies from the grid or Stack list</x:v>
      </x:c>
      <x:c r="I16" s="80" t="str">
        <x:v>No direct builder test.</x:v>
      </x:c>
      <x:c r="J16" s="80" t="str">
        <x:v>Not Run</x:v>
      </x:c>
      <x:c r="K16" s="80" t="str">
        <x:v>Not Run</x:v>
      </x:c>
      <x:c r="L16" s="80"/>
      <x:c r="M16" s="80"/>
      <x:c r="N16" s="80" t="str">
        <x:v>A failed/no-op remove has no notice; normally only disabled/hidden controls expose that state.</x:v>
      </x:c>
      <x:c r="O16" s="80" t="str">
        <x:v>site/deck.html:770-777,864-880,950-993</x:v>
      </x:c>
    </x:row>
    <x:row r="17" ht="21.600000381469727" hidden="0" customHeight="1">
      <x:c r="A17" s="80" t="str">
        <x:v>DECK-US-012</x:v>
      </x:c>
      <x:c r="B17" s="80" t="str">
        <x:v>Stack Builder</x:v>
      </x:c>
      <x:c r="C17" s="80" t="str">
        <x:v>touch player</x:v>
      </x:c>
      <x:c r="D17" s="80" t="str">
        <x:v>As a touch player, I can inspect card details with mouse or touch.</x:v>
      </x:c>
      <x:c r="E17" s="80" t="str">
        <x:v>A reader dialog opens; the following click after a successful hold is swallowed so it does not also add a copy. Short tap/click remains the fast add action. Implemented.</x:v>
      </x:c>
      <x:c r="F17" s="80" t="str">
        <x:v>/deck.html and handoffs</x:v>
      </x:c>
      <x:c r="G17" s="80" t="str">
        <x:v>A visitor on desktop right-clicks a card, or a touch visitor presses and holds for 420 ms.</x:v>
      </x:c>
      <x:c r="H17" s="80" t="str">
        <x:v>inspect card details with mouse or touch</x:v>
      </x:c>
      <x:c r="I17" s="80" t="str">
        <x:v>No direct builder test.</x:v>
      </x:c>
      <x:c r="J17" s="80" t="str">
        <x:v>Not Run</x:v>
      </x:c>
      <x:c r="K17" s="80" t="str">
        <x:v>Not Run</x:v>
      </x:c>
      <x:c r="L17" s="80"/>
      <x:c r="M17" s="80"/>
      <x:c r="N17" s="80" t="str">
        <x:v>Keyboard users have no separate “open details” action: Enter/Space add, while the reader is otherwise mouse/touch oriented.</x:v>
      </x:c>
      <x:c r="O17" s="80" t="str">
        <x:v>site/deck.html:792-817,1006-1057</x:v>
      </x:c>
    </x:row>
    <x:row r="18" ht="32.400001525878906" hidden="0" customHeight="1">
      <x:c r="A18" s="80" t="str">
        <x:v>DECK-US-013</x:v>
      </x:c>
      <x:c r="B18" s="80" t="str">
        <x:v>Stack Builder</x:v>
      </x:c>
      <x:c r="C18" s="80" t="str">
        <x:v>player</x:v>
      </x:c>
      <x:c r="D18" s="80" t="str">
        <x:v>As a player, I can add or remove copies from the card reader.</x:v>
      </x:c>
      <x:c r="E18" s="80" t="str">
        <x:v>Reader shows ID, name, type/subtype, cost, action/resilience when present, affinities, rules text, help, flavor, rarity and current Stack copies; Add/Remove mutate the Stack; Remove is disabled at zero; backdrop/X closes. Stake cards show “not in E1” and cannot be added. Implemented.</x:v>
      </x:c>
      <x:c r="F18" s="80" t="str">
        <x:v>/deck.html and handoffs</x:v>
      </x:c>
      <x:c r="G18" s="80" t="str">
        <x:v>A visitor opens a card reader and chooses reader actions.</x:v>
      </x:c>
      <x:c r="H18" s="80" t="str">
        <x:v>add or remove copies from the card reader</x:v>
      </x:c>
      <x:c r="I18" s="80" t="str">
        <x:v>No direct builder test.</x:v>
      </x:c>
      <x:c r="J18" s="80" t="str">
        <x:v>Not Run</x:v>
      </x:c>
      <x:c r="K18" s="80" t="str">
        <x:v>Not Run</x:v>
      </x:c>
      <x:c r="L18" s="80"/>
      <x:c r="M18" s="80"/>
      <x:c r="N18" s="80" t="str">
        <x:v>Fallback path sets open when showModal is absent but close handlers still call dlg.close unconditionally (site/deck.html:1055-1062), a legacy-browser compatibility defect.</x:v>
      </x:c>
      <x:c r="O18" s="80" t="str">
        <x:v>site/deck.html:344-359,995-1062; CSS at site/deck.html:127-134,192-205</x:v>
      </x:c>
    </x:row>
    <x:row r="19" ht="21.600000381469727" hidden="0" customHeight="1">
      <x:c r="A19" s="80" t="str">
        <x:v>DECK-US-014</x:v>
      </x:c>
      <x:c r="B19" s="80" t="str">
        <x:v>Stack Builder</x:v>
      </x:c>
      <x:c r="C19" s="80" t="str">
        <x:v>player</x:v>
      </x:c>
      <x:c r="D19" s="80" t="str">
        <x:v>As a player, I can understand why Stake-module cards are excluded.</x:v>
      </x:c>
      <x:c r="E19" s="80" t="str">
        <x:v>Stake cards remain visible but visually marked and addCard refuses them; the dialog Add control is disabled. Implemented, but silent on tile click.</x:v>
      </x:c>
      <x:c r="F19" s="80" t="str">
        <x:v>/deck.html and handoffs</x:v>
      </x:c>
      <x:c r="G19" s="80" t="str">
        <x:v>A visitor clicks a Stake-module tile or tries to add a Stake card.</x:v>
      </x:c>
      <x:c r="H19" s="80" t="str">
        <x:v>understand why Stake-module cards are excluded</x:v>
      </x:c>
      <x:c r="I19" s="80" t="str">
        <x:v>Engine rejection: tests/js/deck.test.mjs:52-57; online rejection: tests/js/net.test.mjs:2160-2166 (fixture excludes them).</x:v>
      </x:c>
      <x:c r="J19" s="80" t="str">
        <x:v>Not Run</x:v>
      </x:c>
      <x:c r="K19" s="80" t="str">
        <x:v>Not Run</x:v>
      </x:c>
      <x:c r="L19" s="80"/>
      <x:c r="M19" s="80"/>
      <x:c r="N19" s="80" t="str">
        <x:v>Fast clicking a Stake tile produces no explanatory message; only opening the reader explains why.</x:v>
      </x:c>
      <x:c r="O19" s="80" t="str">
        <x:v>site/deck.html:423-424,746,855-860,1052-1054; three cards are present in site/play-data.js (E1-099, E1-102, E1-105).</x:v>
      </x:c>
    </x:row>
    <x:row r="20" ht="43.20000076293945" hidden="0" customHeight="1">
      <x:c r="A20" s="80" t="str">
        <x:v>DECK-US-015</x:v>
      </x:c>
      <x:c r="B20" s="80" t="str">
        <x:v>Stack Builder</x:v>
      </x:c>
      <x:c r="C20" s="80" t="str">
        <x:v>player</x:v>
      </x:c>
      <x:c r="D20" s="80" t="str">
        <x:v>As a player, I can see Stack legality while editing.</x:v>
      </x:c>
      <x:c r="E20" s="80" t="str">
        <x:v>Pane shows current count, 40-card floor, remaining cards, red/green count, progress meter, and “legal Stack” only after minimum size, non-basic copy cap, and OG ownership checks pass. Basic Resources are uncapped; other cards max three. Implemented in builder.</x:v>
      </x:c>
      <x:c r="F20" s="80" t="str">
        <x:v>/deck.html and handoffs</x:v>
      </x:c>
      <x:c r="G20" s="80" t="str">
        <x:v>A visitor adds/removes cards and watches legality.</x:v>
      </x:c>
      <x:c r="H20" s="80" t="str">
        <x:v>see Stack legality while editing</x:v>
      </x:c>
      <x:c r="I20" s="80" t="str">
        <x:v>tests/js/deck.test.mjs:48-79; tests/js/precons.test.mjs:18-38.</x:v>
      </x:c>
      <x:c r="J20" s="80" t="str">
        <x:v>Not Run</x:v>
      </x:c>
      <x:c r="K20" s="80" t="str">
        <x:v>Not Run</x:v>
      </x:c>
      <x:c r="L20" s="80"/>
      <x:c r="M20" s="80"/>
      <x:c r="N20" s="80" t="str">
        <x:v>Freestyle addCard does not stop a fourth non-basic copy; it allows an invalid draft and waits until Save to report the cap (site/deck.html:855-862,1186-1189). The note says cards “allow three copies”, so immediate refusal or visible per-card error is the less surprising UX.</x:v>
      </x:c>
      <x:c r="O20" s="80" t="str">
        <x:v>site/deck.html:300-314,1119-1127,981-993; rules authority site/engine.js:644-653.</x:v>
      </x:c>
    </x:row>
    <x:row r="21" ht="21.600000381469727" hidden="0" customHeight="1">
      <x:c r="A21" s="80" t="str">
        <x:v>DECK-US-016</x:v>
      </x:c>
      <x:c r="B21" s="80" t="str">
        <x:v>Stack Builder</x:v>
      </x:c>
      <x:c r="C21" s="80" t="str">
        <x:v>player</x:v>
      </x:c>
      <x:c r="D21" s="80" t="str">
        <x:v>As a player, I can inspect affinity, type, and cost breakdowns.</x:v>
      </x:c>
      <x:c r="E21" s="80" t="str">
        <x:v>Breakdown reports affinity, type and cost buckets; each card with multiple affinities contributes to each affinity row. Implemented.</x:v>
      </x:c>
      <x:c r="F21" s="80" t="str">
        <x:v>/deck.html and handoffs</x:v>
      </x:c>
      <x:c r="G21" s="80" t="str">
        <x:v>A visitor has a non-empty Stack.</x:v>
      </x:c>
      <x:c r="H21" s="80" t="str">
        <x:v>inspect affinity, type, and cost breakdowns</x:v>
      </x:c>
      <x:c r="I21" s="80" t="str">
        <x:v>No direct builder test.</x:v>
      </x:c>
      <x:c r="J21" s="80" t="str">
        <x:v>Not Run</x:v>
      </x:c>
      <x:c r="K21" s="80" t="str">
        <x:v>Not Run</x:v>
      </x:c>
      <x:c r="L21" s="80"/>
      <x:c r="M21" s="80"/>
      <x:c r="N21" s="80" t="str">
        <x:v>Multi-affinity counts can sum above total cards, but the UI does not explain that they are affinity memberships rather than a partition.</x:v>
      </x:c>
      <x:c r="O21" s="80" t="str">
        <x:v>site/deck.html:904-948</x:v>
      </x:c>
    </x:row>
    <x:row r="22" ht="21.600000381469727" hidden="0" customHeight="1">
      <x:c r="A22" s="80" t="str">
        <x:v>DECK-US-017</x:v>
      </x:c>
      <x:c r="B22" s="80" t="str">
        <x:v>Stack Builder</x:v>
      </x:c>
      <x:c r="C22" s="80" t="str">
        <x:v>player</x:v>
      </x:c>
      <x:c r="D22" s="80" t="str">
        <x:v>As a player, I can name and clear a Stack draft.</x:v>
      </x:c>
      <x:c r="E22" s="80" t="str">
        <x:v>Name input accepts a trimmed name capped at 60 characters; Clear empties only the current unsaved Stack and refreshes all derived state. Implemented.</x:v>
      </x:c>
      <x:c r="F22" s="80" t="str">
        <x:v>/deck.html and handoffs</x:v>
      </x:c>
      <x:c r="G22" s="80" t="str">
        <x:v>A visitor names, clears, or edits a Stack.</x:v>
      </x:c>
      <x:c r="H22" s="80" t="str">
        <x:v>name and clear a Stack draft</x:v>
      </x:c>
      <x:c r="I22" s="80" t="str">
        <x:v>No direct builder test.</x:v>
      </x:c>
      <x:c r="J22" s="80" t="str">
        <x:v>Not Run</x:v>
      </x:c>
      <x:c r="K22" s="80" t="str">
        <x:v>Not Run</x:v>
      </x:c>
      <x:c r="L22" s="80"/>
      <x:c r="M22" s="80"/>
      <x:c r="N22" s="80" t="str">
        <x:v>Names longer than 60 are silently truncated; collisions are silently treated as overwrite on Save. A short notice/confirmation would prevent accidental replacement.</x:v>
      </x:c>
      <x:c r="O22" s="80" t="str">
        <x:v>site/deck.html:302,415,1108-1114,1210-1213</x:v>
      </x:c>
    </x:row>
    <x:row r="23" ht="21.600000381469727" hidden="0" customHeight="1">
      <x:c r="A23" s="80" t="str">
        <x:v>DECK-US-018</x:v>
      </x:c>
      <x:c r="B23" s="80" t="str">
        <x:v>Stack Builder</x:v>
      </x:c>
      <x:c r="C23" s="80" t="str">
        <x:v>player</x:v>
      </x:c>
      <x:c r="D23" s="80" t="str">
        <x:v>As a player, I can load a bundled preconstructed Stack.</x:v>
      </x:c>
      <x:c r="E23" s="80" t="str">
        <x:v>The bundled library shows 5 Starter and 6 Classic rows, with name, affinity, card count (40) and tagline tooltip; Load puts a copy into the pane for editing. Implemented.</x:v>
      </x:c>
      <x:c r="F23" s="80" t="str">
        <x:v>/deck.html and handoffs</x:v>
      </x:c>
      <x:c r="G23" s="80" t="str">
        <x:v>A visitor chooses a starter or classic preconstructed Stack.</x:v>
      </x:c>
      <x:c r="H23" s="80" t="str">
        <x:v>load a bundled preconstructed Stack</x:v>
      </x:c>
      <x:c r="I23" s="80" t="str">
        <x:v>tests/js/precons.test.mjs:18-46; Play use tests/js/client.test.mjs:888-898.</x:v>
      </x:c>
      <x:c r="J23" s="80" t="str">
        <x:v>Not Run</x:v>
      </x:c>
      <x:c r="K23" s="80" t="str">
        <x:v>Not Run</x:v>
      </x:c>
      <x:c r="L23" s="80"/>
      <x:c r="M23" s="80"/>
      <x:c r="N23" s="80" t="str">
        <x:v>renderPrecons trusts generated shape and would throw/partially render if the bundle is malformed; no UI fallback explains a bad precon.</x:v>
      </x:c>
      <x:c r="O23" s="80" t="str">
        <x:v>site/precons.js:6-524; rendering site/deck.html:1215-1239; generator scripts/build_precons.py:1-15,282-315</x:v>
      </x:c>
    </x:row>
    <x:row r="24" ht="32.400001525878906" hidden="0" customHeight="1">
      <x:c r="A24" s="80" t="str">
        <x:v>DECK-US-019</x:v>
      </x:c>
      <x:c r="B24" s="80" t="str">
        <x:v>Stack Builder</x:v>
      </x:c>
      <x:c r="C24" s="80" t="str">
        <x:v>player</x:v>
      </x:c>
      <x:c r="D24" s="80" t="str">
        <x:v>As a player, I can save a legal named Stack.</x:v>
      </x:c>
      <x:c r="E24" s="80" t="str">
        <x:v>Save requires a non-empty name, wallet ownership load complete, at least 40 cards, no non-basic fourth copies, valid OG ownership, and ≤4600 IDs; it reports actionable inline status and saves the ID list. Implemented.</x:v>
      </x:c>
      <x:c r="F24" s="80" t="str">
        <x:v>/deck.html and handoffs</x:v>
      </x:c>
      <x:c r="G24" s="80" t="str">
        <x:v>A visitor presses Save.</x:v>
      </x:c>
      <x:c r="H24" s="80" t="str">
        <x:v>save a legal named Stack</x:v>
      </x:c>
      <x:c r="I24" s="80" t="str">
        <x:v>Engine validation: tests/js/deck.test.mjs:42-79; server validation: tests/js/net.test.mjs:2217-2251.</x:v>
      </x:c>
      <x:c r="J24" s="80" t="str">
        <x:v>Not Run</x:v>
      </x:c>
      <x:c r="K24" s="80" t="str">
        <x:v>Not Run</x:v>
      </x:c>
      <x:c r="L24" s="80"/>
      <x:c r="M24" s="80"/>
      <x:c r="N24" s="80" t="str">
        <x:v>Save is disabled only after the async storage probe; before bootLibrary completes it can be clicked, and a fast save may race the initial library read (site/deck.html:573-580,1138-1150,1319,1181-1207).</x:v>
      </x:c>
      <x:c r="O24" s="80" t="str">
        <x:v>site/deck.html:1181-1208; caps site/storage-keys.js:34-39.</x:v>
      </x:c>
    </x:row>
    <x:row r="25" ht="32.400001525878906" hidden="0" customHeight="1">
      <x:c r="A25" s="80" t="str">
        <x:v>DECK-US-020</x:v>
      </x:c>
      <x:c r="B25" s="80" t="str">
        <x:v>Stack Builder</x:v>
      </x:c>
      <x:c r="C25" s="80" t="str">
        <x:v>player</x:v>
      </x:c>
      <x:c r="D25" s="80" t="str">
        <x:v>As a player, I can reload a saved Stack.</x:v>
      </x:c>
      <x:c r="E25" s="80" t="str">
        <x:v>Saved library is read from 600b:decks, sanitized to named string-ID arrays, sorted alphabetically, and rendered with Load/Delete actions. Load replaces the current draft and sets its name. Implemented.</x:v>
      </x:c>
      <x:c r="F25" s="80" t="str">
        <x:v>/deck.html and handoffs</x:v>
      </x:c>
      <x:c r="G25" s="80" t="str">
        <x:v>A visitor returns to a page with saved Stacks.</x:v>
      </x:c>
      <x:c r="H25" s="80" t="str">
        <x:v>reload a saved Stack</x:v>
      </x:c>
      <x:c r="I25" s="80" t="str">
        <x:v>Storage adapter round-trip: tests/js/napplet.test.mjs:64-72.</x:v>
      </x:c>
      <x:c r="J25" s="80" t="str">
        <x:v>Not Run</x:v>
      </x:c>
      <x:c r="K25" s="80" t="str">
        <x:v>Not Run</x:v>
      </x:c>
      <x:c r="L25" s="80"/>
      <x:c r="M25" s="80"/>
      <x:c r="N25" s="80" t="str">
        <x:v>Unknown card IDs are counted in the saved row but silently dropped on Load (site/deck.html:1155-1161,1109-1114), with no “N cards omitted” notice. A corrupted/failed read also falls back to an empty library without a user-visible explanation.</x:v>
      </x:c>
      <x:c r="O25" s="80" t="str">
        <x:v>site/deck.html:506-521,573-580,1108-1114,1138-1179; key contract site/storage-keys.js:25-39</x:v>
      </x:c>
    </x:row>
    <x:row r="26" ht="21.600000381469727" hidden="0" customHeight="1">
      <x:c r="A26" s="80" t="str">
        <x:v>DECK-US-021</x:v>
      </x:c>
      <x:c r="B26" s="80" t="str">
        <x:v>Stack Builder</x:v>
      </x:c>
      <x:c r="C26" s="80" t="str">
        <x:v>player</x:v>
      </x:c>
      <x:c r="D26" s="80" t="str">
        <x:v>As a player, I can delete a saved Stack safely.</x:v>
      </x:c>
      <x:c r="E26" s="80" t="str">
        <x:v>Delete asks for confirmation, serializes through the same queued writer, refreshes the library only after a successful write, and reports success/error inline. Implemented.</x:v>
      </x:c>
      <x:c r="F26" s="80" t="str">
        <x:v>/deck.html and handoffs</x:v>
      </x:c>
      <x:c r="G26" s="80" t="str">
        <x:v>A visitor deletes a saved Stack.</x:v>
      </x:c>
      <x:c r="H26" s="80" t="str">
        <x:v>delete a saved Stack safely</x:v>
      </x:c>
      <x:c r="I26" s="80" t="str">
        <x:v>No direct builder test.</x:v>
      </x:c>
      <x:c r="J26" s="80" t="str">
        <x:v>Not Run</x:v>
      </x:c>
      <x:c r="K26" s="80" t="str">
        <x:v>Not Run</x:v>
      </x:c>
      <x:c r="L26" s="80"/>
      <x:c r="M26" s="80"/>
      <x:c r="N26" s="80" t="str">
        <x:v>Delete controls remain active when durable is false and only fail after the click; disabling them with Save would make no-storage behavior clearer.</x:v>
      </x:c>
      <x:c r="O26" s="80" t="str">
        <x:v>site/deck.html:1158-1175,523-557</x:v>
      </x:c>
    </x:row>
    <x:row r="27" ht="21.600000381469727" hidden="0" customHeight="1">
      <x:c r="A27" s="80" t="str">
        <x:v>DECK-US-022</x:v>
      </x:c>
      <x:c r="B27" s="80" t="str">
        <x:v>Stack Builder</x:v>
      </x:c>
      <x:c r="C27" s="80" t="str">
        <x:v>player</x:v>
      </x:c>
      <x:c r="D27" s="80" t="str">
        <x:v>As a player, I can keep building when durable storage is unavailable.</x:v>
      </x:c>
      <x:c r="E27" s="80" t="str">
        <x:v>Storage writes are probed; the page reports that starter Stacks still work for the session, disables Save when durable storage is unavailable, and never presents a failed write as saved. Implemented via adapter.</x:v>
      </x:c>
      <x:c r="F27" s="80" t="str">
        <x:v>/deck.html and handoffs</x:v>
      </x:c>
      <x:c r="G27" s="80" t="str">
        <x:v>A visitor uses private mode, a shell without storage, or a full disk.</x:v>
      </x:c>
      <x:c r="H27" s="80" t="str">
        <x:v>keep building when durable storage is unavailable</x:v>
      </x:c>
      <x:c r="I27" s="80" t="str">
        <x:v>tests/js/napplet.test.mjs:51-94.</x:v>
      </x:c>
      <x:c r="J27" s="80" t="str">
        <x:v>Not Run</x:v>
      </x:c>
      <x:c r="K27" s="80" t="str">
        <x:v>Not Run</x:v>
      </x:c>
      <x:c r="L27" s="80"/>
      <x:c r="M27" s="80"/>
      <x:c r="N27" s="80" t="str">
        <x:v>A missing napplet.js path uses an in-memory store (site/deck.html:497-504) but the normal page always includes the adapter; this fallback has no direct Deck Builder test.</x:v>
      </x:c>
      <x:c r="O27" s="80" t="str">
        <x:v>site/deck.html:489-504,532-580; adapter site/napplet.js:50-94; messages site/deck.html:418-422</x:v>
      </x:c>
    </x:row>
    <x:row r="28" ht="32.400001525878906" hidden="0" customHeight="1">
      <x:c r="A28" s="80" t="str">
        <x:v>DECK-US-023</x:v>
      </x:c>
      <x:c r="B28" s="80" t="str">
        <x:v>Stack Builder</x:v>
      </x:c>
      <x:c r="C28" s="80" t="str">
        <x:v>player</x:v>
      </x:c>
      <x:c r="D28" s="80" t="str">
        <x:v>As a player, I can preserve saved data during rapid operations.</x:v>
      </x:c>
      <x:c r="E28" s="80" t="str">
        <x:v>Read-modify-write jobs are serialized; a failed write does not advance the in-memory library; stack-library size is checked against 160 KB, 32 saved Stacks, and 4600 cards per Stack. Implemented for same-page queue.</x:v>
      </x:c>
      <x:c r="F28" s="80" t="str">
        <x:v>/deck.html and handoffs</x:v>
      </x:c>
      <x:c r="G28" s="80" t="str">
        <x:v>A visitor saves/deletes rapidly or two operations overlap in one page.</x:v>
      </x:c>
      <x:c r="H28" s="80" t="str">
        <x:v>preserve saved data during rapid operations</x:v>
      </x:c>
      <x:c r="I28" s="80" t="str">
        <x:v>No direct deck queue test; storage primitive tests/js/napplet.test.mjs:64-72.</x:v>
      </x:c>
      <x:c r="J28" s="80" t="str">
        <x:v>Not Run</x:v>
      </x:c>
      <x:c r="K28" s="80" t="str">
        <x:v>Not Run</x:v>
      </x:c>
      <x:c r="L28" s="80"/>
      <x:c r="M28" s="80"/>
      <x:c r="N28" s="80" t="str">
        <x:v>Queue does not coordinate separate tabs, so two tabs can still overwrite each other’s library. Cross-tab conflict behavior is unspecified.</x:v>
      </x:c>
      <x:c r="O28" s="80" t="str">
        <x:v>site/deck.html:403-415,523-557,1189-1207; shared caps site/storage-keys.js:34-39</x:v>
      </x:c>
    </x:row>
    <x:row r="29" ht="21.600000381469727" hidden="0" customHeight="1">
      <x:c r="A29" s="80" t="str">
        <x:v>DECK-US-024</x:v>
      </x:c>
      <x:c r="B29" s="80" t="str">
        <x:v>Stack Builder</x:v>
      </x:c>
      <x:c r="C29" s="80" t="str">
        <x:v>player</x:v>
      </x:c>
      <x:c r="D29" s="80" t="str">
        <x:v>As a player, I can see cards pulled from the Shop.</x:v>
      </x:c>
      <x:c r="E29" s="80" t="str">
        <x:v>Collection reads 600b:shop, filters known positive pulls, sorts by count then ID, shows total/distinct counts and lazy card faces, and links to Shop when empty. Implemented.</x:v>
      </x:c>
      <x:c r="F29" s="80" t="str">
        <x:v>/deck.html and handoffs</x:v>
      </x:c>
      <x:c r="G29" s="80" t="str">
        <x:v>A visitor has pulled cards in Shop.</x:v>
      </x:c>
      <x:c r="H29" s="80" t="str">
        <x:v>see cards pulled from the Shop</x:v>
      </x:c>
      <x:c r="I29" s="80" t="str">
        <x:v>No direct collection test.</x:v>
      </x:c>
      <x:c r="J29" s="80" t="str">
        <x:v>Not Run</x:v>
      </x:c>
      <x:c r="K29" s="80" t="str">
        <x:v>Not Run</x:v>
      </x:c>
      <x:c r="L29" s="80"/>
      <x:c r="M29" s="80"/>
      <x:c r="N29" s="80" t="str">
        <x:v>Collection text always says building is “not limited to them yet” (site/deck.html:606-607), even while OG mode can restrict the builder to verified cards (site/deck.html:1340-1346).</x:v>
      </x:c>
      <x:c r="O29" s="80" t="str">
        <x:v>site/deck.html:583-625; Shop key/source site/shop.js:39-49,187-213</x:v>
      </x:c>
    </x:row>
    <x:row r="30" ht="21.600000381469727" hidden="0" customHeight="1">
      <x:c r="A30" s="80" t="str">
        <x:v>DECK-US-025</x:v>
      </x:c>
      <x:c r="B30" s="80" t="str">
        <x:v>Stack Builder</x:v>
      </x:c>
      <x:c r="C30" s="80" t="str">
        <x:v>player</x:v>
      </x:c>
      <x:c r="D30" s="80" t="str">
        <x:v>As a player, I can build an unrestricted Freestyle Stack.</x:v>
      </x:c>
      <x:c r="E30" s="80" t="str">
        <x:v>Freestyle is the default and leaves the entire catalog legal; it remains available after a purchase and shows wallet status without silently restricting cards. Implemented.</x:v>
      </x:c>
      <x:c r="F30" s="80" t="str">
        <x:v>/deck.html and handoffs</x:v>
      </x:c>
      <x:c r="G30" s="80" t="str">
        <x:v>A visitor wants unrestricted deck construction after buying nothing.</x:v>
      </x:c>
      <x:c r="H30" s="80" t="str">
        <x:v>build an unrestricted Freestyle Stack</x:v>
      </x:c>
      <x:c r="I30" s="80" t="str">
        <x:v>No direct Deck Builder test.</x:v>
      </x:c>
      <x:c r="J30" s="80" t="str">
        <x:v>Not Run</x:v>
      </x:c>
      <x:c r="K30" s="80" t="str">
        <x:v>Not Run</x:v>
      </x:c>
      <x:c r="L30" s="80"/>
      <x:c r="M30" s="80"/>
      <x:c r="N30" s="80" t="str">
        <x:v>Mode preference uses direct localStorage, not the Napplet storage seam (site/deck.html:483-485,1331), so a shell may not retain it.</x:v>
      </x:c>
      <x:c r="O30" s="80" t="str">
        <x:v>site/deck.html:475-485,1323-1350</x:v>
      </x:c>
    </x:row>
    <x:row r="31" ht="43.20000076293945" hidden="0" customHeight="1">
      <x:c r="A31" s="80" t="str">
        <x:v>DECK-US-026</x:v>
      </x:c>
      <x:c r="B31" s="80" t="str">
        <x:v>Stack Builder</x:v>
      </x:c>
      <x:c r="C31" s="80" t="str">
        <x:v>player</x:v>
      </x:c>
      <x:c r="D31" s="80" t="str">
        <x:v>As a player, I can build an OG Stack from verified NutFT cards.</x:v>
      </x:c>
      <x:c r="E31" s="80" t="str">
        <x:v>OG is enabled only when verified unspent wallet proofs exist; the catalog hides unowned non-Basic cards, Basic Resources remain free, add/save enforce current verified counts, and the ownership note states the rule. Implemented in Deck Builder.</x:v>
      </x:c>
      <x:c r="F31" s="80" t="str">
        <x:v>/deck.html and handoffs</x:v>
      </x:c>
      <x:c r="G31" s="80" t="str">
        <x:v>A visitor with verified NutFT proofs opts into OG.</x:v>
      </x:c>
      <x:c r="H31" s="80" t="str">
        <x:v>build an OG Stack from verified NutFT cards</x:v>
      </x:c>
      <x:c r="I31" s="80" t="str">
        <x:v>Wallet possession path tested only in Play: tests/js/client.test.mjs:574-598.</x:v>
      </x:c>
      <x:c r="J31" s="80" t="str">
        <x:v>Not Run</x:v>
      </x:c>
      <x:c r="K31" s="80" t="str">
        <x:v>Not Run</x:v>
      </x:c>
      <x:c r="L31" s="80"/>
      <x:c r="M31" s="80"/>
      <x:c r="N31" s="80" t="str">
        <x:v>applyMode(mode) runs before async wallet verification with verified null, forces a saved og preference back to Freestyle, and never restores it when proofs arrive (site/deck.html:1326-1329,1355,1357-1368). A user with proofs must select OG again after every reload.</x:v>
      </x:c>
      <x:c r="O31" s="80" t="str">
        <x:v>site/deck.html:468-480,710-719,855-862,1119-1127,1323-1350; wallet snapshot site/nutft-wallet.js:345-361</x:v>
      </x:c>
    </x:row>
    <x:row r="32" ht="21.600000381469727" hidden="0" customHeight="1">
      <x:c r="A32" s="80" t="str">
        <x:v>DECK-US-027</x:v>
      </x:c>
      <x:c r="B32" s="80" t="str">
        <x:v>Stack Builder</x:v>
      </x:c>
      <x:c r="C32" s="80" t="str">
        <x:v>player</x:v>
      </x:c>
      <x:c r="D32" s="80" t="str">
        <x:v>As a player, I can fall back safely when wallet verification is unavailable.</x:v>
      </x:c>
      <x:c r="E32" s="80" t="str">
        <x:v>The page falls back to Freestyle, keeps building usable, disables OG when no verified proofs exist, marks wallet loading complete, and explains verification failure in the ownership note. Implemented.</x:v>
      </x:c>
      <x:c r="F32" s="80" t="str">
        <x:v>/deck.html and handoffs</x:v>
      </x:c>
      <x:c r="G32" s="80" t="str">
        <x:v>A visitor has no proofs, a corrupt wallet, or a verification/mint failure.</x:v>
      </x:c>
      <x:c r="H32" s="80" t="str">
        <x:v>fall back safely when wallet verification is unavailable</x:v>
      </x:c>
      <x:c r="I32" s="80" t="str">
        <x:v>No direct Deck Builder wallet test.</x:v>
      </x:c>
      <x:c r="J32" s="80" t="str">
        <x:v>Not Run</x:v>
      </x:c>
      <x:c r="K32" s="80" t="str">
        <x:v>Not Run</x:v>
      </x:c>
      <x:c r="L32" s="80"/>
      <x:c r="M32" s="80"/>
      <x:c r="N32" s="80" t="str">
        <x:v>There is no distinct UI for “wallet has invalid proofs” versus “mint unavailable”; both collapse into an explanatory Freestyle note.</x:v>
      </x:c>
      <x:c r="O32" s="80" t="str">
        <x:v>site/deck.html:1326-1346,1357-1376; wallet errors site/nutft-wallet.js:27-31,316-361</x:v>
      </x:c>
    </x:row>
    <x:row r="33" ht="54" hidden="0" customHeight="1">
      <x:c r="A33" s="80" t="str">
        <x:v>DECK-US-028</x:v>
      </x:c>
      <x:c r="B33" s="80" t="str">
        <x:v>Stack Builder</x:v>
      </x:c>
      <x:c r="C33" s="80" t="str">
        <x:v>player</x:v>
      </x:c>
      <x:c r="D33" s="80" t="str">
        <x:v>As a player, I can start local play with a verified OG Stack.</x:v>
      </x:c>
      <x:c r="E33" s="80" t="str">
        <x:v>Save writes the ID list to 600b:decks and marks the name in 600b:nutft-decks; Play reads that marker and asks the wallet for enough current proofs before starting. Implemented on the plain website path.</x:v>
      </x:c>
      <x:c r="F33" s="80" t="str">
        <x:v>/deck.html and handoffs</x:v>
      </x:c>
      <x:c r="G33" s="80" t="str">
        <x:v>A visitor saves an OG Stack and later starts Play.</x:v>
      </x:c>
      <x:c r="H33" s="80" t="str">
        <x:v>start local play with a verified OG Stack</x:v>
      </x:c>
      <x:c r="I33" s="80" t="str">
        <x:v>tests/js/client.test.mjs:574-598.</x:v>
      </x:c>
      <x:c r="J33" s="80" t="str">
        <x:v>Not Run</x:v>
      </x:c>
      <x:c r="K33" s="80" t="str">
        <x:v>Not Run</x:v>
      </x:c>
      <x:c r="L33" s="80"/>
      <x:c r="M33" s="80"/>
      <x:c r="N33" s="80" t="str">
        <x:v>High suspected logistics/security defect: Deck Builder explicitly exempts Basic Resources from OG ownership, but Play verifyNutftSetup requires proofs for every ID, including Basic Resources (site/deck.html:468-480,1340-1342 vs site/play.js:4097-4100). A legal OG Stack with unowned Basics becomes unplayable unless every Basic copy is also in the wallet.</x:v>
      </x:c>
      <x:c r="O33" s="80" t="str">
        <x:v>Marking site/deck.html:1201-1206; Play check site/play.js:4083-4112; local custom choice site/play.js:4122-4139</x:v>
      </x:c>
    </x:row>
    <x:row r="34" ht="43.20000076293945" hidden="0" customHeight="1">
      <x:c r="A34" s="80" t="str">
        <x:v>DECK-US-029</x:v>
      </x:c>
      <x:c r="B34" s="80" t="str">
        <x:v>Stack Builder</x:v>
      </x:c>
      <x:c r="C34" s="80" t="str">
        <x:v>player</x:v>
      </x:c>
      <x:c r="D34" s="80" t="str">
        <x:v>As a player, I can preserve the OG ownership marker across Napplet storage.</x:v>
      </x:c>
      <x:c r="E34" s="80" t="str">
        <x:v>The same saved Stack and ownership constraint should survive the shell storage boundary. Partially implemented.</x:v>
      </x:c>
      <x:c r="F34" s="80" t="str">
        <x:v>/deck.html and handoffs</x:v>
      </x:c>
      <x:c r="G34" s="80" t="str">
        <x:v>A visitor runs the app inside a shell/Napplet and saves an OG Stack.</x:v>
      </x:c>
      <x:c r="H34" s="80" t="str">
        <x:v>preserve the OG ownership marker across Napplet storage</x:v>
      </x:c>
      <x:c r="I34" s="80" t="str">
        <x:v>No shell integration test for Deck Builder + Play.</x:v>
      </x:c>
      <x:c r="J34" s="80" t="str">
        <x:v>Not Run</x:v>
      </x:c>
      <x:c r="K34" s="80" t="str">
        <x:v>Not Run</x:v>
      </x:c>
      <x:c r="L34" s="80"/>
      <x:c r="M34" s="80"/>
      <x:c r="N34" s="80" t="str">
        <x:v>High suspected security/logistics defect: in a shell where localStorage is unavailable or separate, the Stack persists in the storage NAP but its NutFT marker does not. Play then treats it as an unmarked prototype Stack and skips possession verification. The shared storage contract has no NUTFT_DECKS key (site/storage-keys.js:25-39).</x:v>
      </x:c>
      <x:c r="O34" s="80" t="str">
        <x:v>Deck library uses E1Napplet.storage (site/deck.html:489-504), but marker uses localStorage (site/deck.html:1201-1206); Play reads marker from localStorage (site/play.js:4083-4100).</x:v>
      </x:c>
    </x:row>
    <x:row r="35" ht="21.600000381469727" hidden="0" customHeight="1">
      <x:c r="A35" s="80" t="str">
        <x:v>DECK-US-030</x:v>
      </x:c>
      <x:c r="B35" s="80" t="str">
        <x:v>Stack Builder</x:v>
      </x:c>
      <x:c r="C35" s="80" t="str">
        <x:v>player</x:v>
      </x:c>
      <x:c r="D35" s="80" t="str">
        <x:v>As a player, I can load a Stack from a URL.</x:v>
      </x:c>
      <x:c r="E35" s="80" t="str">
        <x:v>After the saved library is read, the named saved Stack takes precedence over a same-named precon; the query is removed, the Stack is loaded unsaved, and unknown names produce an inline error. Implemented.</x:v>
      </x:c>
      <x:c r="F35" s="80" t="str">
        <x:v>/deck.html and handoffs</x:v>
      </x:c>
      <x:c r="G35" s="80" t="str">
        <x:v>A visitor follows deck.html?load=&lt;name&gt;.</x:v>
      </x:c>
      <x:c r="H35" s="80" t="str">
        <x:v>load a Stack from a URL</x:v>
      </x:c>
      <x:c r="I35" s="80" t="str">
        <x:v>No direct builder test.</x:v>
      </x:c>
      <x:c r="J35" s="80" t="str">
        <x:v>Not Run</x:v>
      </x:c>
      <x:c r="K35" s="80" t="str">
        <x:v>Not Run</x:v>
      </x:c>
      <x:c r="L35" s="80"/>
      <x:c r="M35" s="80"/>
      <x:c r="N35" s="80" t="str">
        <x:v>Name matching is exact/case-sensitive and the parameter is removed before an unknown-name error, so a typo loses the share/load URL on reload.</x:v>
      </x:c>
      <x:c r="O35" s="80" t="str">
        <x:v>site/deck.html:1242-1307; boot order site/deck.html:1315-1380</x:v>
      </x:c>
    </x:row>
    <x:row r="36" ht="32.400001525878906" hidden="0" customHeight="1">
      <x:c r="A36" s="80" t="str">
        <x:v>DECK-US-031</x:v>
      </x:c>
      <x:c r="B36" s="80" t="str">
        <x:v>Stack Builder</x:v>
      </x:c>
      <x:c r="C36" s="80" t="str">
        <x:v>player</x:v>
      </x:c>
      <x:c r="D36" s="80" t="str">
        <x:v>As a player, I can import a one-shot Shop handoff.</x:v>
      </x:c>
      <x:c r="E36" s="80" t="str">
        <x:v>Shop writes/merges the Booster pulls draft and redirects to deck.html?load=Booster%20pulls; the one-shot handoff record is read raw, removed before parsing, imported unsaved, and the query is dropped. Implemented.</x:v>
      </x:c>
      <x:c r="F36" s="80" t="str">
        <x:v>/deck.html and handoffs</x:v>
      </x:c>
      <x:c r="G36" s="80" t="str">
        <x:v>Shop sends a draft or an external page writes 600b:deck-handoff.</x:v>
      </x:c>
      <x:c r="H36" s="80" t="str">
        <x:v>import a one-shot Shop handoff</x:v>
      </x:c>
      <x:c r="I36" s="80" t="str">
        <x:v>No direct handoff test.</x:v>
      </x:c>
      <x:c r="J36" s="80" t="str">
        <x:v>Not Run</x:v>
      </x:c>
      <x:c r="K36" s="80" t="str">
        <x:v>Not Run</x:v>
      </x:c>
      <x:c r="L36" s="80"/>
      <x:c r="M36" s="80"/>
      <x:c r="N36" s="80" t="str">
        <x:v>If store.remove fails, the record is still applied but remains for a later reload; malformed raw handoffs are consumed silently. If URL rewrite fails, ?load can be replayed on reload (site/deck.html:1248-1258).</x:v>
      </x:c>
      <x:c r="O36" s="80" t="str">
        <x:v>Shop site/shop.js:596-669,1018-1025; contract/reader site/deck.html:386-400,1261-1287; key site/storage-keys.js:29-32</x:v>
      </x:c>
    </x:row>
    <x:row r="37" ht="32.400001525878906" hidden="0" customHeight="1">
      <x:c r="A37" s="80" t="str">
        <x:v>DECK-US-032</x:v>
      </x:c>
      <x:c r="B37" s="80" t="str">
        <x:v>Stack Builder</x:v>
      </x:c>
      <x:c r="C37" s="80" t="str">
        <x:v>player</x:v>
      </x:c>
      <x:c r="D37" s="80" t="str">
        <x:v>As a player, I can reject invalid handoff and saved-card IDs.</x:v>
      </x:c>
      <x:c r="E37" s="80" t="str">
        <x:v>Imported name is trimmed/capped to 60 chars, IDs must be strings and are capped at 4600, only known E1 IDs enter the pane, and status reports omitted IDs. Implemented for handoff.</x:v>
      </x:c>
      <x:c r="F37" s="80" t="str">
        <x:v>/deck.html and handoffs</x:v>
      </x:c>
      <x:c r="G37" s="80" t="str">
        <x:v>A visitor receives untrusted handoff/query IDs or a malformed saved record.</x:v>
      </x:c>
      <x:c r="H37" s="80" t="str">
        <x:v>reject invalid handoff and saved-card IDs</x:v>
      </x:c>
      <x:c r="I37" s="80" t="str">
        <x:v>Engine rejects invalid direct lists: tests/js/deck.test.mjs:48-57; server rejects unknown/oversize lists: tests/js/net.test.mjs:2217-2251.</x:v>
      </x:c>
      <x:c r="J37" s="80" t="str">
        <x:v>Not Run</x:v>
      </x:c>
      <x:c r="K37" s="80" t="str">
        <x:v>Not Run</x:v>
      </x:c>
      <x:c r="L37" s="80"/>
      <x:c r="M37" s="80"/>
      <x:c r="N37" s="80" t="str">
        <x:v>Imported known Stake IDs are not rejected by importCards/stackProblem; they can be saved because loadDeck filters only unknown IDs, then the engine rejects them later. Handoff should either exclude Stake cards or show the same legality error before Save.</x:v>
      </x:c>
      <x:c r="O37" s="80" t="str">
        <x:v>site/deck.html:510-521,1261-1273; save caps site/deck.html:412-415,1189-1199</x:v>
      </x:c>
    </x:row>
    <x:row r="38" ht="21.600000381469727" hidden="0" customHeight="1">
      <x:c r="A38" s="80" t="str">
        <x:v>DECK-US-033</x:v>
      </x:c>
      <x:c r="B38" s="80" t="str">
        <x:v>Stack Builder</x:v>
      </x:c>
      <x:c r="C38" s="80" t="str">
        <x:v>player</x:v>
      </x:c>
      <x:c r="D38" s="80" t="str">
        <x:v>As a player, I can edit a loaded Stack as a draft.</x:v>
      </x:c>
      <x:c r="E38" s="80" t="str">
        <x:v>Loading replaces, rather than appends to, the current unsaved Stack; card counts are rebuilt from IDs, name is set, and all derived views re-render. Implemented.</x:v>
      </x:c>
      <x:c r="F38" s="80" t="str">
        <x:v>/deck.html and handoffs</x:v>
      </x:c>
      <x:c r="G38" s="80" t="str">
        <x:v>A visitor loads a saved/precon/imported Stack and edits it.</x:v>
      </x:c>
      <x:c r="H38" s="80" t="str">
        <x:v>edit a loaded Stack as a draft</x:v>
      </x:c>
      <x:c r="I38" s="80" t="str">
        <x:v>No direct builder test.</x:v>
      </x:c>
      <x:c r="J38" s="80" t="str">
        <x:v>Not Run</x:v>
      </x:c>
      <x:c r="K38" s="80" t="str">
        <x:v>Not Run</x:v>
      </x:c>
      <x:c r="L38" s="80"/>
      <x:c r="M38" s="80"/>
      <x:c r="N38" s="80" t="str">
        <x:v>Saved loads silently drop unknown IDs and precon/import loads do not report a loaded-card summary except the generic handoff message.</x:v>
      </x:c>
      <x:c r="O38" s="80" t="str">
        <x:v>site/deck.html:1108-1114,1264-1273</x:v>
      </x:c>
    </x:row>
    <x:row r="39" ht="43.20000076293945" hidden="0" customHeight="1">
      <x:c r="A39" s="80" t="str">
        <x:v>DECK-US-034</x:v>
      </x:c>
      <x:c r="B39" s="80" t="str">
        <x:v>Stack Builder</x:v>
      </x:c>
      <x:c r="C39" s="80" t="str">
        <x:v>player</x:v>
      </x:c>
      <x:c r="D39" s="80" t="str">
        <x:v>As a player, I can start local Play with the selected Stack.</x:v>
      </x:c>
      <x:c r="E39" s="80" t="str">
        <x:v>Play waits for 600b:decks, offers affinity presets, all precons, and saved custom Stacks in both seat menus; Start stays disabled until the async library read finishes; selected explicit IDs are passed to the engine. Implemented.</x:v>
      </x:c>
      <x:c r="F39" s="80" t="str">
        <x:v>/deck.html and handoffs</x:v>
      </x:c>
      <x:c r="G39" s="80" t="str">
        <x:v>A visitor goes from Stack Builder to local Play.</x:v>
      </x:c>
      <x:c r="H39" s="80" t="str">
        <x:v>start local Play with the selected Stack</x:v>
      </x:c>
      <x:c r="I39" s="80" t="str">
        <x:v>Custom wallet path tests/js/client.test.mjs:574-598; precon path tests/js/client.test.mjs:888-898; engine contract tests/js/deck.test.mjs:42-79.</x:v>
      </x:c>
      <x:c r="J39" s="80" t="str">
        <x:v>Not Run</x:v>
      </x:c>
      <x:c r="K39" s="80" t="str">
        <x:v>Not Run</x:v>
      </x:c>
      <x:c r="L39" s="80"/>
      <x:c r="M39" s="80"/>
      <x:c r="N39" s="80" t="str">
        <x:v>A failed library read quietly yields only presets and still enables Start (site/play.js:3378-3389,4303-4310), with no notice that saved Stacks are unavailable. Play also assumes every saved value has .length while rendering options (site/play.js:4267-4275).</x:v>
      </x:c>
      <x:c r="O39" s="80" t="str">
        <x:v>Play site/play.js:3372-3389,4195-4279,4303-4310; setup markup site/play.html:785-825</x:v>
      </x:c>
    </x:row>
    <x:row r="40" ht="32.400001525878906" hidden="0" customHeight="1">
      <x:c r="A40" s="80" t="str">
        <x:v>DECK-US-035</x:v>
      </x:c>
      <x:c r="B40" s="80" t="str">
        <x:v>Stack Builder</x:v>
      </x:c>
      <x:c r="C40" s="80" t="str">
        <x:v>player</x:v>
      </x:c>
      <x:c r="D40" s="80" t="str">
        <x:v>As a player, I can take a custom Stack into online play.</x:v>
      </x:c>
      <x:c r="E40" s="80" t="str">
        <x:v>Matchmaking reads the shared deck library, offers Ready vs My Stack, disables online actions when custom mode has no choice, sends plain card IDs, and displays &lt;40-card guidance; the referee rejects unknown, Stake, under-floor, over-limit or over-copy lists. Implemented as two-stage validation.</x:v>
      </x:c>
      <x:c r="F40" s="80" t="str">
        <x:v>/deck.html and handoffs</x:v>
      </x:c>
      <x:c r="G40" s="80" t="str">
        <x:v>A visitor chooses a custom Stack for online Create/Join/Queue.</x:v>
      </x:c>
      <x:c r="H40" s="80" t="str">
        <x:v>take a custom Stack into online play</x:v>
      </x:c>
      <x:c r="I40" s="80" t="str">
        <x:v>tests/js/net.test.mjs:2173-2274.</x:v>
      </x:c>
      <x:c r="J40" s="80" t="str">
        <x:v>Not Run</x:v>
      </x:c>
      <x:c r="K40" s="80" t="str">
        <x:v>Not Run</x:v>
      </x:c>
      <x:c r="L40" s="80"/>
      <x:c r="M40" s="80"/>
      <x:c r="N40" s="80" t="str">
        <x:v>Online custom Stack flow does not request NutFT possession proofs; it relies on the client’s nutft-decks marker only in local Play, while the server validates rules but not wallet ownership. This is a gap against the demo-spec Gameplay possession requirement.</x:v>
      </x:c>
      <x:c r="O40" s="80" t="str">
        <x:v>Lobby site/matchmaking.js:119-184,386-403,503-524; wire site/net.js:575-635; server server/table.js:1102-1132,1144-1150,1197-1225,1335-1365</x:v>
      </x:c>
    </x:row>
    <x:row r="41" ht="32.400001525878906" hidden="0" customHeight="1">
      <x:c r="A41" s="80" t="str">
        <x:v>DECK-US-036</x:v>
      </x:c>
      <x:c r="B41" s="80" t="str">
        <x:v>Stack Builder</x:v>
      </x:c>
      <x:c r="C41" s="80" t="str">
        <x:v>player</x:v>
      </x:c>
      <x:c r="D41" s="80" t="str">
        <x:v>As a player, I can send my Shop collection to the Stack Builder.</x:v>
      </x:c>
      <x:c r="E41" s="80" t="str">
        <x:v>All pulled IDs are merged into the Booster pulls Stack without clobbering other saved Stacks, bounded by 4600 IDs, 32 Stacks and the shared 160 KB budget; success redirects to the deck loader, failure stays in Shop with an actionable message. Implemented.</x:v>
      </x:c>
      <x:c r="F41" s="80" t="str">
        <x:v>/deck.html and handoffs</x:v>
      </x:c>
      <x:c r="G41" s="80" t="str">
        <x:v>A visitor uses the Shop “Send everything” flow.</x:v>
      </x:c>
      <x:c r="H41" s="80" t="str">
        <x:v>send my Shop collection to the Stack Builder</x:v>
      </x:c>
      <x:c r="I41" s="80" t="str">
        <x:v>No direct Shop-to-Deck test; adapter storage tests/js/napplet.test.mjs:64-72.</x:v>
      </x:c>
      <x:c r="J41" s="80" t="str">
        <x:v>Not Run</x:v>
      </x:c>
      <x:c r="K41" s="80" t="str">
        <x:v>Not Run</x:v>
      </x:c>
      <x:c r="L41" s="80"/>
      <x:c r="M41" s="80"/>
      <x:c r="N41" s="80" t="str">
        <x:v>writeDraft uses shop pulls as authoritative but does not validate IDs against E1; Deck later silently omits unknown IDs.</x:v>
      </x:c>
      <x:c r="O41" s="80" t="str">
        <x:v>site/shop.js:596-669,1018-1025; Shop controls site/shop.html:450-460; shared caps site/storage-keys.js:29-39</x:v>
      </x:c>
    </x:row>
    <x:row r="42" ht="21.600000381469727" hidden="0" customHeight="1">
      <x:c r="A42" s="80" t="str">
        <x:v>DECK-US-037</x:v>
      </x:c>
      <x:c r="B42" s="80" t="str">
        <x:v>Stack Builder</x:v>
      </x:c>
      <x:c r="C42" s="80" t="str">
        <x:v>player</x:v>
      </x:c>
      <x:c r="D42" s="80" t="str">
        <x:v>As a player, I can use deterministic legal preconstructed Stacks.</x:v>
      </x:c>
      <x:c r="E42" s="80" t="str">
        <x:v>All 11 precons are deterministic, ≥40 cards, Stake-free, and fully scripted/manual=false; both seats can construct each list without card loss. Implemented and engine-tested.</x:v>
      </x:c>
      <x:c r="F42" s="80" t="str">
        <x:v>/deck.html and handoffs</x:v>
      </x:c>
      <x:c r="G42" s="80" t="str">
        <x:v>A visitor relies on the generated precon library for a first game.</x:v>
      </x:c>
      <x:c r="H42" s="80" t="str">
        <x:v>use deterministic legal preconstructed Stacks</x:v>
      </x:c>
      <x:c r="I42" s="80" t="str">
        <x:v>tests/js/precons.test.mjs:18-46.</x:v>
      </x:c>
      <x:c r="J42" s="80" t="str">
        <x:v>Not Run</x:v>
      </x:c>
      <x:c r="K42" s="80" t="str">
        <x:v>Not Run</x:v>
      </x:c>
      <x:c r="L42" s="80"/>
      <x:c r="M42" s="80"/>
      <x:c r="N42" s="80" t="str">
        <x:v>Test asserts &gt;=40, not exact 40 or absence of duplicate over-cap copies; generator currently emits 40 and its fill enforces non-basic max 3.</x:v>
      </x:c>
      <x:c r="O42" s="80" t="str">
        <x:v>Generator scripts/build_precons.py:1-15,61-111,282-315; bundle site/precons.js:6-524</x:v>
      </x:c>
    </x:row>
    <x:row r="43" ht="21.600000381469727" hidden="0" customHeight="1">
      <x:c r="A43" s="80" t="str">
        <x:v>DECK-US-038</x:v>
      </x:c>
      <x:c r="B43" s="80" t="str">
        <x:v>Stack Builder</x:v>
      </x:c>
      <x:c r="C43" s="80" t="str">
        <x:v>player</x:v>
      </x:c>
      <x:c r="D43" s="80" t="str">
        <x:v>As a player, I can rely on engine and server deck validation.</x:v>
      </x:c>
      <x:c r="E43" s="80" t="str">
        <x:v>Explicit lists are validated for minimum 40, known cards, Stake gate and non-basic max-three; legal lists are shuffled, dealt as submitted, and committed. Implemented.</x:v>
      </x:c>
      <x:c r="F43" s="80" t="str">
        <x:v>/deck.html and handoffs</x:v>
      </x:c>
      <x:c r="G43" s="80" t="str">
        <x:v>A visitor relies on the engine/server as final authority after bypassing the UI.</x:v>
      </x:c>
      <x:c r="H43" s="80" t="str">
        <x:v>rely on engine and server deck validation</x:v>
      </x:c>
      <x:c r="I43" s="80" t="str">
        <x:v>tests/js/deck.test.mjs:42-79; tests/js/net.test.mjs:2173-2274.</x:v>
      </x:c>
      <x:c r="J43" s="80" t="str">
        <x:v>Not Run</x:v>
      </x:c>
      <x:c r="K43" s="80" t="str">
        <x:v>Not Run</x:v>
      </x:c>
      <x:c r="L43" s="80"/>
      <x:c r="M43" s="80"/>
      <x:c r="N43" s="80" t="str">
        <x:v>UI-only defects can still surface as late engine errors; the builder does not expose every engine rejection before Save (especially imported Stake cards).</x:v>
      </x:c>
      <x:c r="O43" s="80" t="str">
        <x:v>Engine site/engine.js:1639-1670; server server/table.js:1111-1132</x:v>
      </x:c>
    </x:row>
    <x:row r="44" ht="32.400001525878906" hidden="0" customHeight="1">
      <x:c r="A44" s="80" t="str">
        <x:v>DECK-US-039</x:v>
      </x:c>
      <x:c r="B44" s="80" t="str">
        <x:v>Stack Builder</x:v>
      </x:c>
      <x:c r="C44" s="80" t="str">
        <x:v>touch player</x:v>
      </x:c>
      <x:c r="D44" s="80" t="str">
        <x:v>As a touch player, I can use the builder on touch and narrow screens.</x:v>
      </x:c>
      <x:c r="E44" s="80" t="str">
        <x:v>Layout collapses the pane below 900 px/container width, closes the filter drawer on phones, shrinks the grid below 400/360 px without horizontal overflow, and enlarges touch targets to ≥40–44 px. Implemented statically.</x:v>
      </x:c>
      <x:c r="F44" s="80" t="str">
        <x:v>/deck.html and handoffs</x:v>
      </x:c>
      <x:c r="G44" s="80" t="str">
        <x:v>A touch visitor uses the builder in a narrow phone or shell panel.</x:v>
      </x:c>
      <x:c r="H44" s="80" t="str">
        <x:v>use the builder on touch and narrow screens</x:v>
      </x:c>
      <x:c r="I44" s="80" t="str">
        <x:v>No visual/browser test.</x:v>
      </x:c>
      <x:c r="J44" s="80" t="str">
        <x:v>Not Run</x:v>
      </x:c>
      <x:c r="K44" s="80" t="str">
        <x:v>Not Run</x:v>
      </x:c>
      <x:c r="L44" s="80"/>
      <x:c r="M44" s="80"/>
      <x:c r="N44" s="80" t="str">
        <x:v>Responsive and long-content behavior (very long Stack names, 4600-card drafts, modal scrolling) has no automated visual test.</x:v>
      </x:c>
      <x:c r="O44" s="80" t="str">
        <x:v>site/deck.html:35-42,90-103,207-240</x:v>
      </x:c>
    </x:row>
    <x:row r="45" ht="32.400001525878906" hidden="0" customHeight="1">
      <x:c r="A45" s="80" t="str">
        <x:v>DECK-US-040</x:v>
      </x:c>
      <x:c r="B45" s="80" t="str">
        <x:v>Stack Builder</x:v>
      </x:c>
      <x:c r="C45" s="80" t="str">
        <x:v>player</x:v>
      </x:c>
      <x:c r="D45" s="80" t="str">
        <x:v>As a player, I can use the builder offline or without remote art.</x:v>
      </x:c>
      <x:c r="E45" s="80" t="str">
        <x:v>faces.js uses local files for file:// or forced local mode, otherwise verifies mirror bytes by SHA-256 and falls back to local faces; card construction remains usable even when network face resolution fails. Implemented by shared asset resolver.</x:v>
      </x:c>
      <x:c r="F45" s="80" t="str">
        <x:v>/deck.html and handoffs</x:v>
      </x:c>
      <x:c r="G45" s="80" t="str">
        <x:v>A visitor opens the page offline or with Blossom/cache unavailable.</x:v>
      </x:c>
      <x:c r="H45" s="80" t="str">
        <x:v>use the builder offline or without remote art</x:v>
      </x:c>
      <x:c r="I45" s="80" t="str">
        <x:v>No direct Deck Builder face test.</x:v>
      </x:c>
      <x:c r="J45" s="80" t="str">
        <x:v>Not Run</x:v>
      </x:c>
      <x:c r="K45" s="80" t="str">
        <x:v>Not Run</x:v>
      </x:c>
      <x:c r="L45" s="80"/>
      <x:c r="M45" s="80"/>
      <x:c r="N45" s="80" t="str">
        <x:v>In a Napplet panel, the relative local fallback may not exist (site/faces.js:133-136), leaving a card image unresolved if all mirrors fail; no user-facing image error is shown.</x:v>
      </x:c>
      <x:c r="O45" s="80" t="str">
        <x:v>site/faces.js:1-15,35-45,59-74,77-145,153-165; deck calls site/deck.html:753-758,613-617</x:v>
      </x:c>
    </x:row>
    <x:row r="46" ht="32.400001525878906" hidden="0" customHeight="1">
      <x:c r="A46" s="80" t="str">
        <x:v>DECK-US-041</x:v>
      </x:c>
      <x:c r="B46" s="80" t="str">
        <x:v>Stack Builder</x:v>
      </x:c>
      <x:c r="C46" s="80" t="str">
        <x:v>player</x:v>
      </x:c>
      <x:c r="D46" s="80" t="str">
        <x:v>As a player, I can survive malformed Shop collection data.</x:v>
      </x:c>
      <x:c r="E46" s="80" t="str">
        <x:v>Collection rendering should ignore invalid entries and remain usable; currently it catches storage/JSON errors and falls back to an empty collection. Partially implemented.</x:v>
      </x:c>
      <x:c r="F46" s="80" t="str">
        <x:v>/deck.html and handoffs</x:v>
      </x:c>
      <x:c r="G46" s="80" t="str">
        <x:v>A visitor has malformed shop collection storage.</x:v>
      </x:c>
      <x:c r="H46" s="80" t="str">
        <x:v>survive malformed Shop collection data</x:v>
      </x:c>
      <x:c r="I46" s="80" t="str">
        <x:v>No direct collection test.</x:v>
      </x:c>
      <x:c r="J46" s="80" t="str">
        <x:v>Not Run</x:v>
      </x:c>
      <x:c r="K46" s="80" t="str">
        <x:v>Not Run</x:v>
      </x:c>
      <x:c r="L46" s="80"/>
      <x:c r="M46" s="80"/>
      <x:c r="N46" s="80" t="str">
        <x:v>pulls[id] is only weakly validated (&gt; 0); non-numeric/string values can affect totals and are interpolated into innerHTML in the summary (site/deck.html:605-607). This is a suspected validation/security defect at the storage trust boundary.</x:v>
      </x:c>
      <x:c r="O46" s="80" t="str">
        <x:v>site/deck.html:587-607</x:v>
      </x:c>
    </x:row>
    <x:row r="47" ht="32.400001525878906" hidden="0" customHeight="1">
      <x:c r="A47" s="80" t="str">
        <x:v>DECK-US-042</x:v>
      </x:c>
      <x:c r="B47" s="80" t="str">
        <x:v>Stack Builder</x:v>
      </x:c>
      <x:c r="C47" s="80" t="str">
        <x:v>player</x:v>
      </x:c>
      <x:c r="D47" s="80" t="str">
        <x:v>As a player, I can keep saved Stacks consistent across tabs and reloads.</x:v>
      </x:c>
      <x:c r="E47" s="80" t="str">
        <x:v>The saved library should remain the union of successful writes, with no stale overwrite and stable NutFT mode/marker behavior. Partially implemented.</x:v>
      </x:c>
      <x:c r="F47" s="80" t="str">
        <x:v>/deck.html and handoffs</x:v>
      </x:c>
      <x:c r="G47" s="80" t="str">
        <x:v>A visitor saves a Stack and opens a second tab or returns after a reload.</x:v>
      </x:c>
      <x:c r="H47" s="80" t="str">
        <x:v>keep saved Stacks consistent across tabs and reloads</x:v>
      </x:c>
      <x:c r="I47" s="80" t="str">
        <x:v>No cross-tab test.</x:v>
      </x:c>
      <x:c r="J47" s="80" t="str">
        <x:v>Not Run</x:v>
      </x:c>
      <x:c r="K47" s="80" t="str">
        <x:v>Not Run</x:v>
      </x:c>
      <x:c r="L47" s="80"/>
      <x:c r="M47" s="80"/>
      <x:c r="N47" s="80" t="str">
        <x:v>Cross-tab merge is absent; mode and NutFT marker bypass the shared storage adapter, compounding shell/cross-tab inconsistencies.</x:v>
      </x:c>
      <x:c r="O47" s="80" t="str">
        <x:v>Same-page queue site/deck.html:523-557; direct mode/marker writes site/deck.html:483-485,1201-1206; Play reader site/play.js:3377-3389,4083-4100</x:v>
      </x:c>
    </x:row>
    <x:row r="48" ht="21.600000381469727" hidden="0" customHeight="1">
      <x:c r="A48" s="80" t="str">
        <x:v>GP-001</x:v>
      </x:c>
      <x:c r="B48" s="80" t="str">
        <x:v>Gameplay</x:v>
      </x:c>
      <x:c r="C48" s="80" t="str">
        <x:v>Local player</x:v>
      </x:c>
      <x:c r="D48" s="80" t="str">
        <x:v>As a local player, I can open the page and choose local play.</x:v>
      </x:c>
      <x:c r="E48" s="80" t="str">
        <x:v>The page exposes two-player hotseat setup, does not open a socket, and remains usable from file://.</x:v>
      </x:c>
      <x:c r="F48" s="80" t="str">
        <x:v>/play.html</x:v>
      </x:c>
      <x:c r="G48" s="80" t="str">
        <x:v>Local player; cold play.html, no server</x:v>
      </x:c>
      <x:c r="H48" s="80" t="str">
        <x:v>Open the page and choose local play</x:v>
      </x:c>
      <x:c r="I48" s="80" t="str">
        <x:v>client.test.mjs: “from file:// with no saved match, net.js opens NOTHING”</x:v>
      </x:c>
      <x:c r="J48" s="80" t="str">
        <x:v>Not Run</x:v>
      </x:c>
      <x:c r="K48" s="80" t="str">
        <x:v>Not Run</x:v>
      </x:c>
      <x:c r="L48" s="80"/>
      <x:c r="M48" s="80"/>
      <x:c r="N48" s="80" t="str">
        <x:v>None found statically.</x:v>
      </x:c>
      <x:c r="O48" s="80" t="str">
        <x:v>site/play.html:785-854,1099-1110; site/play.js:3366-3370,4073-4079,4437-4444</x:v>
      </x:c>
    </x:row>
    <x:row r="49" ht="21.600000381469727" hidden="0" customHeight="1">
      <x:c r="A49" s="80" t="str">
        <x:v>GP-002</x:v>
      </x:c>
      <x:c r="B49" s="80" t="str">
        <x:v>Gameplay</x:v>
      </x:c>
      <x:c r="C49" s="80" t="str">
        <x:v>Player</x:v>
      </x:c>
      <x:c r="D49" s="80" t="str">
        <x:v>As a player, I can enter names for both seats, choose an Avatar or “No Avatar”, and change either Avatar.</x:v>
      </x:c>
      <x:c r="E49" s="80" t="str">
        <x:v>The preview updates; chosen Avatar is the local portrait for that seat while the engine identity/transcript remains name/deck based.</x:v>
      </x:c>
      <x:c r="F49" s="80" t="str">
        <x:v>/play.html</x:v>
      </x:c>
      <x:c r="G49" s="80" t="str">
        <x:v>Player; setup visible</x:v>
      </x:c>
      <x:c r="H49" s="80" t="str">
        <x:v>Enter names for both seats, choose an Avatar or “No Avatar”, and change either Avatar</x:v>
      </x:c>
      <x:c r="I49" s="80" t="str">
        <x:v>client.test.mjs: “player names are rendered as text in the turn HUD”</x:v>
      </x:c>
      <x:c r="J49" s="80" t="str">
        <x:v>Not Run</x:v>
      </x:c>
      <x:c r="K49" s="80" t="str">
        <x:v>Not Run</x:v>
      </x:c>
      <x:c r="L49" s="80"/>
      <x:c r="M49" s="80"/>
      <x:c r="N49" s="80" t="str">
        <x:v>The Avatar choice is cosmetic and is not passed into createGame; the setup wording can imply it is a gameplay Avatar selection.</x:v>
      </x:c>
      <x:c r="O49" s="80" t="str">
        <x:v>site/play.html:793-815; site/play.js:860-910,4198-4231</x:v>
      </x:c>
    </x:row>
    <x:row r="50" ht="21.600000381469727" hidden="0" customHeight="1">
      <x:c r="A50" s="80" t="str">
        <x:v>GP-003</x:v>
      </x:c>
      <x:c r="B50" s="80" t="str">
        <x:v>Gameplay</x:v>
      </x:c>
      <x:c r="C50" s="80" t="str">
        <x:v>Player</x:v>
      </x:c>
      <x:c r="D50" s="80" t="str">
        <x:v>As a player, I can open either Stack menu.</x:v>
      </x:c>
      <x:c r="E50" s="80" t="str">
        <x:v>It lists All/affinity presets, Starter and Classic precons, then saved custom Stacks with card count and a NutFT marker.</x:v>
      </x:c>
      <x:c r="F50" s="80" t="str">
        <x:v>/play.html</x:v>
      </x:c>
      <x:c r="G50" s="80" t="str">
        <x:v>Player; saved Stack library available</x:v>
      </x:c>
      <x:c r="H50" s="80" t="str">
        <x:v>Open either Stack menu</x:v>
      </x:c>
      <x:c r="I50" s="80" t="str">
        <x:v>precons.test.mjs: “every preconstructed Stack constructs a legal game…”; deck.test.mjs: saved Stack construction</x:v>
      </x:c>
      <x:c r="J50" s="80" t="str">
        <x:v>Not Run</x:v>
      </x:c>
      <x:c r="K50" s="80" t="str">
        <x:v>Not Run</x:v>
      </x:c>
      <x:c r="L50" s="80"/>
      <x:c r="M50" s="80"/>
      <x:c r="N50" s="80" t="str">
        <x:v>Menu options are populated asynchronously; a slow/broken storage backend temporarily disables Start.</x:v>
      </x:c>
      <x:c r="O50" s="80" t="str">
        <x:v>site/play.js:4195-4279; site/precons.js:6-525</x:v>
      </x:c>
    </x:row>
    <x:row r="51" ht="21.600000381469727" hidden="0" customHeight="1">
      <x:c r="A51" s="80" t="str">
        <x:v>GP-004</x:v>
      </x:c>
      <x:c r="B51" s="80" t="str">
        <x:v>Gameplay</x:v>
      </x:c>
      <x:c r="C51" s="80" t="str">
        <x:v>Player</x:v>
      </x:c>
      <x:c r="D51" s="80" t="str">
        <x:v>As a player, I can select any of the 11 E1_PRECONS entries and start.</x:v>
      </x:c>
      <x:c r="E51" s="80" t="str">
        <x:v>The exact 40-card list is handed to the reducer and constructs in either seat without assisted cards.</x:v>
      </x:c>
      <x:c r="F51" s="80" t="str">
        <x:v>/play.html</x:v>
      </x:c>
      <x:c r="G51" s="80" t="str">
        <x:v>Player; choose a precon</x:v>
      </x:c>
      <x:c r="H51" s="80" t="str">
        <x:v>Select any of the 11 E1_PRECONS entries and start</x:v>
      </x:c>
      <x:c r="I51" s="80" t="str">
        <x:v>precons.test.mjs: both “every preconstructed…” and “library is fully scripted…”</x:v>
      </x:c>
      <x:c r="J51" s="80" t="str">
        <x:v>Not Run</x:v>
      </x:c>
      <x:c r="K51" s="80" t="str">
        <x:v>Not Run</x:v>
      </x:c>
      <x:c r="L51" s="80"/>
      <x:c r="M51" s="80"/>
      <x:c r="N51" s="80" t="str">
        <x:v>None found statically.</x:v>
      </x:c>
      <x:c r="O51" s="80" t="str">
        <x:v>site/precons.js:6-525; site/play.js:4125-4134; site/engine.js:1637-1653</x:v>
      </x:c>
    </x:row>
    <x:row r="52" ht="32.400001525878906" hidden="0" customHeight="1">
      <x:c r="A52" s="80" t="str">
        <x:v>GP-005</x:v>
      </x:c>
      <x:c r="B52" s="80" t="str">
        <x:v>Gameplay</x:v>
      </x:c>
      <x:c r="C52" s="80" t="str">
        <x:v>Player</x:v>
      </x:c>
      <x:c r="D52" s="80" t="str">
        <x:v>As a player, I can select a saved custom list and start.</x:v>
      </x:c>
      <x:c r="E52" s="80" t="str">
        <x:v>The explicit list, not a newly rolled affinity deck, is dealt; engine rejects fewer than 40 cards, over-copy lists, and illegal cards before minting objects.</x:v>
      </x:c>
      <x:c r="F52" s="80" t="str">
        <x:v>/play.html</x:v>
      </x:c>
      <x:c r="G52" s="80" t="str">
        <x:v>Player; choose custom Stack</x:v>
      </x:c>
      <x:c r="H52" s="80" t="str">
        <x:v>Select a saved custom list and start</x:v>
      </x:c>
      <x:c r="I52" s="80" t="str">
        <x:v>deck.test.mjs: “a saved 40-card Stack constructs…”; “39 cards is not a Stack”; “§7: no more than three copies…”; net.test.mjs: “a Stack you built is the Stack you are dealt”</x:v>
      </x:c>
      <x:c r="J52" s="80" t="str">
        <x:v>Not Run</x:v>
      </x:c>
      <x:c r="K52" s="80" t="str">
        <x:v>Not Run</x:v>
      </x:c>
      <x:c r="L52" s="80"/>
      <x:c r="M52" s="80"/>
      <x:c r="N52" s="80" t="str">
        <x:v>createGame validates minimum and copies but does not independently explain missing/unknown card IDs in the UI; error wording is reducer-level.</x:v>
      </x:c>
      <x:c r="O52" s="80" t="str">
        <x:v>site/play.js:4122-4134; site/engine.js:1642-1653</x:v>
      </x:c>
    </x:row>
    <x:row r="53" ht="21.600000381469727" hidden="0" customHeight="1">
      <x:c r="A53" s="80" t="str">
        <x:v>GP-006</x:v>
      </x:c>
      <x:c r="B53" s="80" t="str">
        <x:v>Gameplay</x:v>
      </x:c>
      <x:c r="C53" s="80" t="str">
        <x:v>Player</x:v>
      </x:c>
      <x:c r="D53" s="80" t="str">
        <x:v>As a player, I can start an affinity preset.</x:v>
      </x:c>
      <x:c r="E53" s="80" t="str">
        <x:v>The engine builds a randomized legal 40-card Stack from the selected affinity plus Neutral, filters Stake-module cards, and uses the deterministic hidden seed.</x:v>
      </x:c>
      <x:c r="F53" s="80" t="str">
        <x:v>/play.html</x:v>
      </x:c>
      <x:c r="G53" s="80" t="str">
        <x:v>Player; no custom list chosen</x:v>
      </x:c>
      <x:c r="H53" s="80" t="str">
        <x:v>Start an affinity preset</x:v>
      </x:c>
      <x:c r="I53" s="80" t="str">
        <x:v>engine.test.mjs: “createGame is deterministic and validates the decklist”; deck.test.mjs: Stake module exclusion</x:v>
      </x:c>
      <x:c r="J53" s="80" t="str">
        <x:v>Not Run</x:v>
      </x:c>
      <x:c r="K53" s="80" t="str">
        <x:v>Not Run</x:v>
      </x:c>
      <x:c r="L53" s="80"/>
      <x:c r="M53" s="80"/>
      <x:c r="N53" s="80" t="str">
        <x:v>None found statically.</x:v>
      </x:c>
      <x:c r="O53" s="80" t="str">
        <x:v>site/engine.js:1483-1536,1637-1653; site/play.js:4136-4159</x:v>
      </x:c>
    </x:row>
    <x:row r="54" ht="21.600000381469727" hidden="0" customHeight="1">
      <x:c r="A54" s="80" t="str">
        <x:v>GP-007</x:v>
      </x:c>
      <x:c r="B54" s="80" t="str">
        <x:v>Gameplay</x:v>
      </x:c>
      <x:c r="C54" s="80" t="str">
        <x:v>Player</x:v>
      </x:c>
      <x:c r="D54" s="80" t="str">
        <x:v>As a player, I can leave Seed blank or enter an integer, then start twice with the same setup.</x:v>
      </x:c>
      <x:c r="E54" s="80" t="str">
        <x:v>Both games have the same deck order/opening state; a blank seed is generated at the UI boundary.</x:v>
      </x:c>
      <x:c r="F54" s="80" t="str">
        <x:v>/play.html</x:v>
      </x:c>
      <x:c r="G54" s="80" t="str">
        <x:v>Player; optional seed</x:v>
      </x:c>
      <x:c r="H54" s="80" t="str">
        <x:v>Leave Seed blank or enter an integer, then start twice with the same setup</x:v>
      </x:c>
      <x:c r="I54" s="80" t="str">
        <x:v>engine.test.mjs: “createGame is deterministic…”; “shuffle is a fixed permutation for a fixed seed”</x:v>
      </x:c>
      <x:c r="J54" s="80" t="str">
        <x:v>Not Run</x:v>
      </x:c>
      <x:c r="K54" s="80" t="str">
        <x:v>Not Run</x:v>
      </x:c>
      <x:c r="L54" s="80"/>
      <x:c r="M54" s="80"/>
      <x:c r="N54" s="80" t="str">
        <x:v>`Number(seedInput) \\</x:v>
      </x:c>
      <x:c r="O54" s="80" t="str">
        <x:v>site/play.js:4114-4144; site/engine.js:1479-1482,1563-1630</x:v>
      </x:c>
    </x:row>
    <x:row r="55" ht="32.400001525878906" hidden="0" customHeight="1">
      <x:c r="A55" s="80" t="str">
        <x:v>GP-008</x:v>
      </x:c>
      <x:c r="B55" s="80" t="str">
        <x:v>Gameplay</x:v>
      </x:c>
      <x:c r="C55" s="80" t="str">
        <x:v>Player</x:v>
      </x:c>
      <x:c r="D55" s="80" t="str">
        <x:v>As a player, I can press Start.</x:v>
      </x:c>
      <x:c r="E55" s="80" t="str">
        <x:v>The app verifies any marked Stack first, creates the game, hides setup, shows the table, resets local selections/log/effects, and renders the opening state. A reducer failure stays in the prompt and does not partially open the board.</x:v>
      </x:c>
      <x:c r="F55" s="80" t="str">
        <x:v>/play.html</x:v>
      </x:c>
      <x:c r="G55" s="80" t="str">
        <x:v>Player; setup selections complete</x:v>
      </x:c>
      <x:c r="H55" s="80" t="str">
        <x:v>Press Start</x:v>
      </x:c>
      <x:c r="I55" s="80" t="str">
        <x:v>client.test.mjs: “a saved match auto-resumes…”; deck.test.mjs legal/illegal Stack cases</x:v>
      </x:c>
      <x:c r="J55" s="80" t="str">
        <x:v>Not Run</x:v>
      </x:c>
      <x:c r="K55" s="80" t="str">
        <x:v>Not Run</x:v>
      </x:c>
      <x:c r="L55" s="80"/>
      <x:c r="M55" s="80"/>
      <x:c r="N55" s="80" t="str">
        <x:v>Async NutFT verification does not visibly disable Start or show busy state while awaiting the wallet (suspected double-submit/logistics issue).</x:v>
      </x:c>
      <x:c r="O55" s="80" t="str">
        <x:v>site/play.js:4088-4112,4114-4193; site/play.html:822,856-991</x:v>
      </x:c>
    </x:row>
    <x:row r="56" ht="21.600000381469727" hidden="0" customHeight="1">
      <x:c r="A56" s="80" t="str">
        <x:v>GP-009</x:v>
      </x:c>
      <x:c r="B56" s="80" t="str">
        <x:v>Gameplay</x:v>
      </x:c>
      <x:c r="C56" s="80" t="str">
        <x:v>Player</x:v>
      </x:c>
      <x:c r="D56" s="80" t="str">
        <x:v>As a player, I can check “NPC opponent — seat two plays itself” and start.</x:v>
      </x:c>
      <x:c r="E56" s="80" t="str">
        <x:v>Seat two is driven only in local hotseat, the human remains the displayed side, and network mode never hosts a bot.</x:v>
      </x:c>
      <x:c r="F56" s="80" t="str">
        <x:v>/play.html</x:v>
      </x:c>
      <x:c r="G56" s="80" t="str">
        <x:v>Player; setup visible</x:v>
      </x:c>
      <x:c r="H56" s="80" t="str">
        <x:v>Check “NPC opponent — seat two plays itself” and start</x:v>
      </x:c>
      <x:c r="I56" s="80" t="str">
        <x:v>npc.test.mjs: all three policy tests; client.test.mjs: hotseat setup paths</x:v>
      </x:c>
      <x:c r="J56" s="80" t="str">
        <x:v>Not Run</x:v>
      </x:c>
      <x:c r="K56" s="80" t="str">
        <x:v>Not Run</x:v>
      </x:c>
      <x:c r="L56" s="80"/>
      <x:c r="M56" s="80"/>
      <x:c r="N56" s="80" t="str">
        <x:v>NPC name defaults to NPC only when the name remains exactly “Player 2”; custom names are retained, which is reasonable but undocumented.</x:v>
      </x:c>
      <x:c r="O56" s="80" t="str">
        <x:v>site/play.html:811-814; site/play.js:46-50,160-216,4119-4145</x:v>
      </x:c>
    </x:row>
    <x:row r="57" ht="32.400001525878906" hidden="0" customHeight="1">
      <x:c r="A57" s="80" t="str">
        <x:v>GP-010</x:v>
      </x:c>
      <x:c r="B57" s="80" t="str">
        <x:v>Gameplay</x:v>
      </x:c>
      <x:c r="C57" s="80" t="str">
        <x:v>Player</x:v>
      </x:c>
      <x:c r="D57" s="80" t="str">
        <x:v>As a player, I can reload/open play.</x:v>
      </x:c>
      <x:c r="E57" s="80" t="str">
        <x:v>The page reads 600b:decks through E1Napplet.storage, rebuilds menus, and does not confuse shell storage with browser localStorage.</x:v>
      </x:c>
      <x:c r="F57" s="80" t="str">
        <x:v>/play.html</x:v>
      </x:c>
      <x:c r="G57" s="80" t="str">
        <x:v>Player; Stack Builder saved a list through a shell</x:v>
      </x:c>
      <x:c r="H57" s="80" t="str">
        <x:v>Reload/open play</x:v>
      </x:c>
      <x:c r="I57" s="80" t="str">
        <x:v>napplet.test.mjs: storage fallback/throw/budget cases</x:v>
      </x:c>
      <x:c r="J57" s="80" t="str">
        <x:v>Not Run</x:v>
      </x:c>
      <x:c r="K57" s="80" t="str">
        <x:v>Not Run</x:v>
      </x:c>
      <x:c r="L57" s="80"/>
      <x:c r="M57" s="80"/>
      <x:c r="N57" s="80" t="str">
        <x:v>nutftDecks() at play.js:4083-4085 reads localStorage directly, unlike stackLibrary; a shell-only marked deck may be displayed without its NutFT mark or may fail the intended check (suspected integration defect).</x:v>
      </x:c>
      <x:c r="O57" s="80" t="str">
        <x:v>site/play.js:3372-3389,4303-4310; site/napplet.js:34-100</x:v>
      </x:c>
    </x:row>
    <x:row r="58" ht="32.400001525878906" hidden="0" customHeight="1">
      <x:c r="A58" s="80" t="str">
        <x:v>GP-011</x:v>
      </x:c>
      <x:c r="B58" s="80" t="str">
        <x:v>Gameplay</x:v>
      </x:c>
      <x:c r="C58" s="80" t="str">
        <x:v>Player</x:v>
      </x:c>
      <x:c r="D58" s="80" t="str">
        <x:v>As a player, I can start.</x:v>
      </x:c>
      <x:c r="E58" s="80" t="str">
        <x:v>NutFTWallet.snapshot(location.origin) is read, proofs are indexed by item.tag[2], and the game starts only if the wallet owns every required card ID with required multiplicity. Missing possession leaves a plain prompt and does not mint the game.</x:v>
      </x:c>
      <x:c r="F58" s="80" t="str">
        <x:v>/play.html</x:v>
      </x:c>
      <x:c r="G58" s="80" t="str">
        <x:v>Player; selected custom Stack is marked NutFT</x:v>
      </x:c>
      <x:c r="H58" s="80" t="str">
        <x:v>Start</x:v>
      </x:c>
      <x:c r="I58" s="80" t="str">
        <x:v>client.test.mjs: “a NutFT-marked Stack proves current wallet possession before play”; nutft.test.mjs: CardBinding/DLEQ/P2BK/store/reload tests</x:v>
      </x:c>
      <x:c r="J58" s="80" t="str">
        <x:v>Not Run</x:v>
      </x:c>
      <x:c r="K58" s="80" t="str">
        <x:v>Not Run</x:v>
      </x:c>
      <x:c r="L58" s="80"/>
      <x:c r="M58" s="80"/>
      <x:c r="N58" s="80" t="str">
        <x:v>Required IDs come from `stackLibrary[name]</x:v>
      </x:c>
      <x:c r="O58" s="80" t="str">
        <x:v>site/play.js:4083-4105; site/play.html:788-792</x:v>
      </x:c>
    </x:row>
    <x:row r="59" ht="21.600000381469727" hidden="0" customHeight="1">
      <x:c r="A59" s="80" t="str">
        <x:v>GP-012</x:v>
      </x:c>
      <x:c r="B59" s="80" t="str">
        <x:v>Gameplay</x:v>
      </x:c>
      <x:c r="C59" s="80" t="str">
        <x:v>Player</x:v>
      </x:c>
      <x:c r="D59" s="80" t="str">
        <x:v>As a player, I can use storage, identity, outbox, resource, and layout services.</x:v>
      </x:c>
      <x:c r="E59" s="80" t="str">
        <x:v>Each falls back without taking down local play: localStorage storage, NIP-07/none identity, local-only outbox, path-based art, bounded resource cache, and element-size layout shape.</x:v>
      </x:c>
      <x:c r="F59" s="80" t="str">
        <x:v>/play.html</x:v>
      </x:c>
      <x:c r="G59" s="80" t="str">
        <x:v>Player; no shell domains</x:v>
      </x:c>
      <x:c r="H59" s="80" t="str">
        <x:v>Use storage, identity, outbox, resource, and layout services</x:v>
      </x:c>
      <x:c r="I59" s="80" t="str">
        <x:v>napplet.test.mjs: fallback, quota, identity, theme, outbox, layout, reachability, resource-cache tests</x:v>
      </x:c>
      <x:c r="J59" s="80" t="str">
        <x:v>Not Run</x:v>
      </x:c>
      <x:c r="K59" s="80" t="str">
        <x:v>Not Run</x:v>
      </x:c>
      <x:c r="L59" s="80"/>
      <x:c r="M59" s="80"/>
      <x:c r="N59" s="80" t="str">
        <x:v>None found statically.</x:v>
      </x:c>
      <x:c r="O59" s="80" t="str">
        <x:v>site/napplet.js:28-333</x:v>
      </x:c>
    </x:row>
    <x:row r="60" ht="21.600000381469727" hidden="0" customHeight="1">
      <x:c r="A60" s="80" t="str">
        <x:v>GP-013</x:v>
      </x:c>
      <x:c r="B60" s="80" t="str">
        <x:v>Gameplay</x:v>
      </x:c>
      <x:c r="C60" s="80" t="str">
        <x:v>Player</x:v>
      </x:c>
      <x:c r="D60" s="80" t="str">
        <x:v>As a player, I can load the page.</x:v>
      </x:c>
      <x:c r="E60" s="80" t="str">
        <x:v>Theme colors repaint chrome but cannot override fixed affinity colors; a broken theme still leaves a painted page.</x:v>
      </x:c>
      <x:c r="F60" s="80" t="str">
        <x:v>/play.html</x:v>
      </x:c>
      <x:c r="G60" s="80" t="str">
        <x:v>Player; shell theme or custom colors available</x:v>
      </x:c>
      <x:c r="H60" s="80" t="str">
        <x:v>Load the page</x:v>
      </x:c>
      <x:c r="I60" s="80" t="str">
        <x:v>napplet.test.mjs: “without a theme…”; “theme … can never repaint an affinity”; broken theme</x:v>
      </x:c>
      <x:c r="J60" s="80" t="str">
        <x:v>Not Run</x:v>
      </x:c>
      <x:c r="K60" s="80" t="str">
        <x:v>Not Run</x:v>
      </x:c>
      <x:c r="L60" s="80"/>
      <x:c r="M60" s="80"/>
      <x:c r="N60" s="80" t="str">
        <x:v>None found statically.</x:v>
      </x:c>
      <x:c r="O60" s="80" t="str">
        <x:v>site/napplet.js:154-205</x:v>
      </x:c>
    </x:row>
    <x:row r="61" ht="21.600000381469727" hidden="0" customHeight="1">
      <x:c r="A61" s="80" t="str">
        <x:v>GP-014</x:v>
      </x:c>
      <x:c r="B61" s="80" t="str">
        <x:v>Gameplay</x:v>
      </x:c>
      <x:c r="C61" s="80" t="str">
        <x:v>Online player</x:v>
      </x:c>
      <x:c r="D61" s="80" t="str">
        <x:v>As an online player, I can sign in with NIP-07, see a shortened npub, sign out, or receive a clear error.</x:v>
      </x:c>
      <x:c r="E61" s="80" t="str">
        <x:v>Local hotseat remains available without an extension.</x:v>
      </x:c>
      <x:c r="F61" s="80" t="str">
        <x:v>/play.html</x:v>
      </x:c>
      <x:c r="G61" s="80" t="str">
        <x:v>Online player; table URL/identity available</x:v>
      </x:c>
      <x:c r="H61" s="80" t="str">
        <x:v>Sign in with NIP-07, see a shortened npub, sign out, or receive a clear error</x:v>
      </x:c>
      <x:c r="I61" s="80" t="str">
        <x:v>client.test.mjs: NIP-07 identity/sign-in tests; net.test.mjs: online identity/NIP-42 tests; napplet.test.mjs: identity tests</x:v>
      </x:c>
      <x:c r="J61" s="80" t="str">
        <x:v>Not Run</x:v>
      </x:c>
      <x:c r="K61" s="80" t="str">
        <x:v>Not Run</x:v>
      </x:c>
      <x:c r="L61" s="80"/>
      <x:c r="M61" s="80"/>
      <x:c r="N61" s="80" t="str">
        <x:v>None found statically.</x:v>
      </x:c>
      <x:c r="O61" s="80" t="str">
        <x:v>site/play.html:835-850; site/play.js:3987-4008; site/napplet.js:98-149</x:v>
      </x:c>
    </x:row>
    <x:row r="62" ht="32.400001525878906" hidden="0" customHeight="1">
      <x:c r="A62" s="80" t="str">
        <x:v>GP-015</x:v>
      </x:c>
      <x:c r="B62" s="80" t="str">
        <x:v>Gameplay</x:v>
      </x:c>
      <x:c r="C62" s="80" t="str">
        <x:v>Returning player</x:v>
      </x:c>
      <x:c r="D62" s="80" t="str">
        <x:v>As a returning player, I can complete or skip the eight-step coach.</x:v>
      </x:c>
      <x:c r="E62" s="80" t="str">
        <x:v>Returning player; coach state exists. The eight-step coach appears on first visit, advances through start/resource/generate/spend/end-turn/attack/defend/final steps, and Skip/done persists 600b:coach.</x:v>
      </x:c>
      <x:c r="F62" s="80" t="str">
        <x:v>/play.html</x:v>
      </x:c>
      <x:c r="G62" s="80" t="str">
        <x:v>Returning player; coach state exists</x:v>
      </x:c>
      <x:c r="H62" s="80" t="str">
        <x:v>The eight-step coach appears on first visit, advances through start/resource/generate/spend/end-turn/attack/defend/final steps, and Skip/done persists 600b:coach.</x:v>
      </x:c>
      <x:c r="I62" s="80" t="str">
        <x:v>client.test.mjs: setup/table DOM coverage</x:v>
      </x:c>
      <x:c r="J62" s="80" t="str">
        <x:v>Not Run</x:v>
      </x:c>
      <x:c r="K62" s="80" t="str">
        <x:v>Not Run</x:v>
      </x:c>
      <x:c r="L62" s="80"/>
      <x:c r="M62" s="80"/>
      <x:c r="N62" s="80" t="str">
        <x:v>The tour is localStorage-only and has no visible reset control; clearing site data is the only reset path (suspected logistics issue).</x:v>
      </x:c>
      <x:c r="O62" s="80" t="str">
        <x:v>site/play.html:1048-1055; site/play.js:2085-2242</x:v>
      </x:c>
    </x:row>
    <x:row r="63" ht="21.600000381469727" hidden="0" customHeight="1">
      <x:c r="A63" s="80" t="str">
        <x:v>GP-016</x:v>
      </x:c>
      <x:c r="B63" s="80" t="str">
        <x:v>Gameplay</x:v>
      </x:c>
      <x:c r="C63" s="80" t="str">
        <x:v>Player</x:v>
      </x:c>
      <x:c r="D63" s="80" t="str">
        <x:v>As a player, I can open Keywords, or activate a keyword link from a prompt/card/manual message.</x:v>
      </x:c>
      <x:c r="E63" s="80" t="str">
        <x:v>The relevant definition is focused in the glossary; card keywords are extracted longest-first with a six-item cap.</x:v>
      </x:c>
      <x:c r="F63" s="80" t="str">
        <x:v>/play.html</x:v>
      </x:c>
      <x:c r="G63" s="80" t="str">
        <x:v>Player; glossary available</x:v>
      </x:c>
      <x:c r="H63" s="80" t="str">
        <x:v>Open Keywords, or activate a keyword link from a prompt/card/manual message</x:v>
      </x:c>
      <x:c r="I63" s="80" t="str">
        <x:v>client.test.mjs: target/prompt DOM tests</x:v>
      </x:c>
      <x:c r="J63" s="80" t="str">
        <x:v>Not Run</x:v>
      </x:c>
      <x:c r="K63" s="80" t="str">
        <x:v>Not Run</x:v>
      </x:c>
      <x:c r="L63" s="80"/>
      <x:c r="M63" s="80"/>
      <x:c r="N63" s="80" t="str">
        <x:v>Six-keyword cap may hide later keywords on unusually dense cards (suspected discoverability issue).</x:v>
      </x:c>
      <x:c r="O63" s="80" t="str">
        <x:v>site/play.js:1910-2083,3121-3124; site/play.html:967-975</x:v>
      </x:c>
    </x:row>
    <x:row r="64" ht="32.400001525878906" hidden="0" customHeight="1">
      <x:c r="A64" s="80" t="str">
        <x:v>GP-017</x:v>
      </x:c>
      <x:c r="B64" s="80" t="str">
        <x:v>Gameplay</x:v>
      </x:c>
      <x:c r="C64" s="80" t="str">
        <x:v>Player</x:v>
      </x:c>
      <x:c r="D64" s="80" t="str">
        <x:v>As a player, I can read the turn chip, phase ribbon, HUD, prompt, Uptime meters, Stack/Wallet/Archive counts, Buffer symbols, opponent face-down Wallet, Queue, and split Network rails.</x:v>
      </x:c>
      <x:c r="E64" s="80" t="str">
        <x:v>Values come from the current redacted view and live engine stats.</x:v>
      </x:c>
      <x:c r="F64" s="80" t="str">
        <x:v>/play.html</x:v>
      </x:c>
      <x:c r="G64" s="80" t="str">
        <x:v>Player; table started</x:v>
      </x:c>
      <x:c r="H64" s="80" t="str">
        <x:v>Read the turn chip, phase ribbon, HUD, prompt, Uptime meters, Stack/Wallet/Archive counts, Buffer symbols, opponent face-down Wallet, Queue, and split Network rails</x:v>
      </x:c>
      <x:c r="I64" s="80" t="str">
        <x:v>client.test.mjs: “Queue zone is actually DRAWN”; “Network's two rails…”; engine.test.mjs: view/redaction cases</x:v>
      </x:c>
      <x:c r="J64" s="80" t="str">
        <x:v>Not Run</x:v>
      </x:c>
      <x:c r="K64" s="80" t="str">
        <x:v>Not Run</x:v>
      </x:c>
      <x:c r="L64" s="80"/>
      <x:c r="M64" s="80"/>
      <x:c r="N64" s="80" t="str">
        <x:v>None found statically.</x:v>
      </x:c>
      <x:c r="O64" s="80" t="str">
        <x:v>site/play.html:865-934; site/play.js:2273-2585; site/engine.js:6722-6871</x:v>
      </x:c>
    </x:row>
    <x:row r="65" ht="32.400001525878906" hidden="0" customHeight="1">
      <x:c r="A65" s="80" t="str">
        <x:v>GP-018</x:v>
      </x:c>
      <x:c r="B65" s="80" t="str">
        <x:v>Gameplay</x:v>
      </x:c>
      <x:c r="C65" s="80" t="str">
        <x:v>Player</x:v>
      </x:c>
      <x:c r="D65" s="80" t="str">
        <x:v>As a player, I can hover/focus a card to inspect it; click/tap to act; right-click, I, or 420ms touch-hold to open full details.</x:v>
      </x:c>
      <x:c r="E65" s="80" t="str">
        <x:v>The detail dialog shows face, ID/type/affinity/cost, rules, flavor, plain-English help, card keywords, optional abilities, and Blossom hash/mirror links.</x:v>
      </x:c>
      <x:c r="F65" s="80" t="str">
        <x:v>/play.html</x:v>
      </x:c>
      <x:c r="G65" s="80" t="str">
        <x:v>Player; any card rendered</x:v>
      </x:c>
      <x:c r="H65" s="80" t="str">
        <x:v>Hover/focus a card to inspect it; click/tap to act; right-click, I, or 420ms touch-hold to open full details</x:v>
      </x:c>
      <x:c r="I65" s="80" t="str">
        <x:v>client.test.mjs: card/rail and player-name tests</x:v>
      </x:c>
      <x:c r="J65" s="80" t="str">
        <x:v>Not Run</x:v>
      </x:c>
      <x:c r="K65" s="80" t="str">
        <x:v>Not Run</x:v>
      </x:c>
      <x:c r="L65" s="80"/>
      <x:c r="M65" s="80"/>
      <x:c r="N65" s="80" t="str">
        <x:v>On a touch device pointerdown immediately opens the lightweight inspector, while hold opens context; this is intentional but may feel like a delayed/duplicated gesture (suspected UX ambiguity).</x:v>
      </x:c>
      <x:c r="O65" s="80" t="str">
        <x:v>site/play.html:1057-1085; site/play.js:997-1152,1497-1737</x:v>
      </x:c>
    </x:row>
    <x:row r="66" ht="32.400001525878906" hidden="0" customHeight="1">
      <x:c r="A66" s="80" t="str">
        <x:v>GP-019</x:v>
      </x:c>
      <x:c r="B66" s="80" t="str">
        <x:v>Gameplay</x:v>
      </x:c>
      <x:c r="C66" s="80" t="str">
        <x:v>Keyboard or assistive-technology player</x:v>
      </x:c>
      <x:c r="D66" s="80" t="str">
        <x:v>As a keyboard or assistive-technology player, I can tab to a card, press Enter/Space to perform its primary action or choose it as a target, press I for details, and use the labelled buttons for Continue/End turn/menus.</x:v>
      </x:c>
      <x:c r="E66" s="80" t="str">
        <x:v>Cards expose role=button, live stats, committed/facedown/Boot Delay/damage, state and affordance words.</x:v>
      </x:c>
      <x:c r="F66" s="80" t="str">
        <x:v>/play.html</x:v>
      </x:c>
      <x:c r="G66" s="80" t="str">
        <x:v>Keyboard or assistive-technology player</x:v>
      </x:c>
      <x:c r="H66" s="80" t="str">
        <x:v>Tab to a card, press Enter/Space to perform its primary action or choose it as a target, press I for details, and use the labelled buttons for Continue/End turn/menus</x:v>
      </x:c>
      <x:c r="I66" s="80" t="str">
        <x:v>client.test.mjs: DOM accessibility/render tests</x:v>
      </x:c>
      <x:c r="J66" s="80" t="str">
        <x:v>Not Run</x:v>
      </x:c>
      <x:c r="K66" s="80" t="str">
        <x:v>Not Run</x:v>
      </x:c>
      <x:c r="L66" s="80"/>
      <x:c r="M66" s="80"/>
      <x:c r="N66" s="80" t="str">
        <x:v>None found statically.</x:v>
      </x:c>
      <x:c r="O66" s="80" t="str">
        <x:v>site/play.js:1497-1737; site/play.html:763,865-880,938-946</x:v>
      </x:c>
    </x:row>
    <x:row r="67" ht="32.400001525878906" hidden="0" customHeight="1">
      <x:c r="A67" s="80" t="str">
        <x:v>GP-020</x:v>
      </x:c>
      <x:c r="B67" s="80" t="str">
        <x:v>Gameplay</x:v>
      </x:c>
      <x:c r="C67" s="80" t="str">
        <x:v>Player</x:v>
      </x:c>
      <x:c r="D67" s="80" t="str">
        <x:v>As a player, I can toggle FX only after a user gesture, render structured event cues/animations when E1FX exists, and continue correctly without sound or with reduced motion.</x:v>
      </x:c>
      <x:c r="E67" s="80" t="str">
        <x:v>Player; motion preference or FX unavailable. Toggle FX only after a user gesture, render structured event cues/animations when E1FX exists, and continue correctly without sound or with reduced motion.</x:v>
      </x:c>
      <x:c r="F67" s="80" t="str">
        <x:v>/play.html</x:v>
      </x:c>
      <x:c r="G67" s="80" t="str">
        <x:v>Player; motion preference or FX unavailable</x:v>
      </x:c>
      <x:c r="H67" s="80" t="str">
        <x:v>Toggle FX only after a user gesture, render structured event cues/animations when E1FX exists, and continue correctly without sound or with reduced motion.</x:v>
      </x:c>
      <x:c r="I67" s="80" t="str">
        <x:v>client.test.mjs: action FX assertions; napplet.test.mjs: layout/runtime fallback</x:v>
      </x:c>
      <x:c r="J67" s="80" t="str">
        <x:v>Not Run</x:v>
      </x:c>
      <x:c r="K67" s="80" t="str">
        <x:v>Not Run</x:v>
      </x:c>
      <x:c r="L67" s="80"/>
      <x:c r="M67" s="80"/>
      <x:c r="N67" s="80" t="str">
        <x:v>None found statically; reduced-motion behavior is primarily CSS and FX-owned.</x:v>
      </x:c>
      <x:c r="O67" s="80" t="str">
        <x:v>site/play.js:218-797,4282-4301; site/play.html:1098-1100</x:v>
      </x:c>
    </x:row>
    <x:row r="68" ht="21.600000381469727" hidden="0" customHeight="1">
      <x:c r="A68" s="80" t="str">
        <x:v>GP-021</x:v>
      </x:c>
      <x:c r="B68" s="80" t="str">
        <x:v>Gameplay</x:v>
      </x:c>
      <x:c r="C68" s="80" t="str">
        <x:v>Player</x:v>
      </x:c>
      <x:c r="D68" s="80" t="str">
        <x:v>As a player, I can read the Log and live actionFx announcements.</x:v>
      </x:c>
      <x:c r="E68" s="80" t="str">
        <x:v>Rejections appear in the prompt with engine error message/code; successful events are redacted for the current side and capped at 240 entries.</x:v>
      </x:c>
      <x:c r="F68" s="80" t="str">
        <x:v>/play.html</x:v>
      </x:c>
      <x:c r="G68" s="80" t="str">
        <x:v>Player; action or state transition occurs</x:v>
      </x:c>
      <x:c r="H68" s="80" t="str">
        <x:v>Read the Log and live actionFx announcements</x:v>
      </x:c>
      <x:c r="I68" s="80" t="str">
        <x:v>client.test.mjs: “an illegal action…” and action-FX tests; engine.test.mjs: event redaction/hash tests</x:v>
      </x:c>
      <x:c r="J68" s="80" t="str">
        <x:v>Not Run</x:v>
      </x:c>
      <x:c r="K68" s="80" t="str">
        <x:v>Not Run</x:v>
      </x:c>
      <x:c r="L68" s="80"/>
      <x:c r="M68" s="80"/>
      <x:c r="N68" s="80" t="str">
        <x:v>The UI stores lastErrorCode but only renders the message; users cannot inspect the machine-readable code (possible support/logistics gap).</x:v>
      </x:c>
      <x:c r="O68" s="80" t="str">
        <x:v>site/play.js:95-150,218-797,2273-2585; site/play.html:936-987</x:v>
      </x:c>
    </x:row>
    <x:row r="69" ht="32.400001525878906" hidden="0" customHeight="1">
      <x:c r="A69" s="80" t="str">
        <x:v>GP-022</x:v>
      </x:c>
      <x:c r="B69" s="80" t="str">
        <x:v>Gameplay</x:v>
      </x:c>
      <x:c r="C69" s="80" t="str">
        <x:v>Player</x:v>
      </x:c>
      <x:c r="D69" s="80" t="str">
        <x:v>As a player, I can use local card-face path/Blossom fallback, reject non-http(s) remote profile pictures, cache profile misses, and preserve names when no relay/art resolver exists.</x:v>
      </x:c>
      <x:c r="E69" s="80" t="str">
        <x:v>Player; card art or profile picture is unavailable. Use local card-face path/Blossom fallback, reject non-http(s) remote profile pictures, cache profile misses, and preserve names when no relay/art resolver exists.</x:v>
      </x:c>
      <x:c r="F69" s="80" t="str">
        <x:v>/play.html</x:v>
      </x:c>
      <x:c r="G69" s="80" t="str">
        <x:v>Player; card art or profile picture is unavailable</x:v>
      </x:c>
      <x:c r="H69" s="80" t="str">
        <x:v>Use local card-face path/Blossom fallback, reject non-http(s) remote profile pictures, cache profile misses, and preserve names when no relay/art resolver exists.</x:v>
      </x:c>
      <x:c r="I69" s="80" t="str">
        <x:v>napplet.test.mjs: resource fallback/cache; client.test.mjs: profile/identity tests</x:v>
      </x:c>
      <x:c r="J69" s="80" t="str">
        <x:v>Not Run</x:v>
      </x:c>
      <x:c r="K69" s="80" t="str">
        <x:v>Not Run</x:v>
      </x:c>
      <x:c r="L69" s="80"/>
      <x:c r="M69" s="80"/>
      <x:c r="N69" s="80" t="str">
        <x:v>None found statically.</x:v>
      </x:c>
      <x:c r="O69" s="80" t="str">
        <x:v>site/play.js:827-919; site/napplet.js:241-298</x:v>
      </x:c>
    </x:row>
    <x:row r="70" ht="32.400001525878906" hidden="0" customHeight="1">
      <x:c r="A70" s="80" t="str">
        <x:v>GP-023</x:v>
      </x:c>
      <x:c r="B70" s="80" t="str">
        <x:v>Gameplay</x:v>
      </x:c>
      <x:c r="C70" s="80" t="str">
        <x:v>Player</x:v>
      </x:c>
      <x:c r="D70" s="80" t="str">
        <x:v>As a player, I can never see opponent Wallet identities, hidden Stack contents, hidden seeds, or face-down Cold details; a spectator sees public counts and cannot act.</x:v>
      </x:c>
      <x:c r="E70" s="80" t="str">
        <x:v>Owner can see own hidden zones and the same view is idempotent on rerender.</x:v>
      </x:c>
      <x:c r="F70" s="80" t="str">
        <x:v>/play.html</x:v>
      </x:c>
      <x:c r="G70" s="80" t="str">
        <x:v>Player; remote or hotseat view</x:v>
      </x:c>
      <x:c r="H70" s="80" t="str">
        <x:v>Never see opponent Wallet identities, hidden Stack contents, hidden seeds, or face-down Cold details; a spectator sees public counts and cannot act</x:v>
      </x:c>
      <x:c r="I70" s="80" t="str">
        <x:v>engine.test.mjs: “view hides both Stacks…”; “view is idempotent…”; “face-down Cold…”; net.test.mjs: fog-of-war/spectator tests</x:v>
      </x:c>
      <x:c r="J70" s="80" t="str">
        <x:v>Not Run</x:v>
      </x:c>
      <x:c r="K70" s="80" t="str">
        <x:v>Not Run</x:v>
      </x:c>
      <x:c r="L70" s="80"/>
      <x:c r="M70" s="80"/>
      <x:c r="N70" s="80" t="str">
        <x:v>None found statically.</x:v>
      </x:c>
      <x:c r="O70" s="80" t="str">
        <x:v>site/engine.js:6674-6871; site/play.js:64-91,100-107</x:v>
      </x:c>
    </x:row>
    <x:row r="71" ht="21.600000381469727" hidden="0" customHeight="1">
      <x:c r="A71" s="80" t="str">
        <x:v>GP-024</x:v>
      </x:c>
      <x:c r="B71" s="80" t="str">
        <x:v>Gameplay</x:v>
      </x:c>
      <x:c r="C71" s="80" t="str">
        <x:v>Player</x:v>
      </x:c>
      <x:c r="D71" s="80" t="str">
        <x:v>As a player, I can see canplay, canact, and canattack affordances and corresponding aria text.</x:v>
      </x:c>
      <x:c r="E71" s="80" t="str">
        <x:v>The glow reflects current phase, turn, payment, commitment, and engine legality rather than only printed cost.</x:v>
      </x:c>
      <x:c r="F71" s="80" t="str">
        <x:v>/play.html</x:v>
      </x:c>
      <x:c r="G71" s="80" t="str">
        <x:v>Player; a card is playable/activatable/attackable</x:v>
      </x:c>
      <x:c r="H71" s="80" t="str">
        <x:v>See canplay, canact, and canattack affordances and corresponding aria text</x:v>
      </x:c>
      <x:c r="I71" s="80" t="str">
        <x:v>engine.test.mjs: payment/attack/block tests; client.test.mjs: target/clash UI tests</x:v>
      </x:c>
      <x:c r="J71" s="80" t="str">
        <x:v>Not Run</x:v>
      </x:c>
      <x:c r="K71" s="80" t="str">
        <x:v>Not Run</x:v>
      </x:c>
      <x:c r="L71" s="80"/>
      <x:c r="M71" s="80"/>
      <x:c r="N71" s="80" t="str">
        <x:v>Resource glow checks allowance but can be optimistic about the card’s exact legal state until clicked; reducer remains the safety net.</x:v>
      </x:c>
      <x:c r="O71" s="80" t="str">
        <x:v>site/play.js:1497-1780; site/engine.js:1275-1453,4955-5060</x:v>
      </x:c>
    </x:row>
    <x:row r="72" ht="21.600000381469727" hidden="0" customHeight="1">
      <x:c r="A72" s="80" t="str">
        <x:v>GP-025</x:v>
      </x:c>
      <x:c r="B72" s="80" t="str">
        <x:v>Gameplay</x:v>
      </x:c>
      <x:c r="C72" s="80" t="str">
        <x:v>Active player</x:v>
      </x:c>
      <x:c r="D72" s="80" t="str">
        <x:v>As an active player, I can start game and press Continue through Unlock, Maintenance, Draw.</x:v>
      </x:c>
      <x:c r="E72" s="80" t="str">
        <x:v>The engine opens the first turn, unlocks required Resources, applies maintenance/triggers, draws, then exposes Build I.</x:v>
      </x:c>
      <x:c r="F72" s="80" t="str">
        <x:v>/play.html</x:v>
      </x:c>
      <x:c r="G72" s="80" t="str">
        <x:v>Active player; opening state</x:v>
      </x:c>
      <x:c r="H72" s="80" t="str">
        <x:v>Start game and press Continue through Unlock, Maintenance, Draw</x:v>
      </x:c>
      <x:c r="I72" s="80" t="str">
        <x:v>engine.test.mjs: “§9 the eight-step turn structure…”; triggers.test.mjs: Uptime Clock</x:v>
      </x:c>
      <x:c r="J72" s="80" t="str">
        <x:v>Not Run</x:v>
      </x:c>
      <x:c r="K72" s="80" t="str">
        <x:v>Not Run</x:v>
      </x:c>
      <x:c r="L72" s="80"/>
      <x:c r="M72" s="80"/>
      <x:c r="N72" s="80" t="str">
        <x:v>None found statically.</x:v>
      </x:c>
      <x:c r="O72" s="80" t="str">
        <x:v>site/engine.js:657-675,4417-4790; site/play.js:2892-3125,3275-3362</x:v>
      </x:c>
    </x:row>
    <x:row r="73" ht="21.600000381469727" hidden="0" customHeight="1">
      <x:c r="A73" s="80" t="str">
        <x:v>GP-026</x:v>
      </x:c>
      <x:c r="B73" s="80" t="str">
        <x:v>Gameplay</x:v>
      </x:c>
      <x:c r="C73" s="80" t="str">
        <x:v>Active player</x:v>
      </x:c>
      <x:c r="D73" s="80" t="str">
        <x:v>As an active player, I can select required/selectable Network Resources and Continue.</x:v>
      </x:c>
      <x:c r="E73" s="80" t="str">
        <x:v>Required cards cannot be removed; caps and exact selection are validated and the selected cards become available for the turn.</x:v>
      </x:c>
      <x:c r="F73" s="80" t="str">
        <x:v>/play.html</x:v>
      </x:c>
      <x:c r="G73" s="80" t="str">
        <x:v>Active player; Unlock awaiting</x:v>
      </x:c>
      <x:c r="H73" s="80" t="str">
        <x:v>Select required/selectable Network Resources and Continue</x:v>
      </x:c>
      <x:c r="I73" s="80" t="str">
        <x:v>client.test.mjs: “mandatory unlock cards cannot be toggled out…”; engine.test.mjs: turn/unlock cases</x:v>
      </x:c>
      <x:c r="J73" s="80" t="str">
        <x:v>Not Run</x:v>
      </x:c>
      <x:c r="K73" s="80" t="str">
        <x:v>Not Run</x:v>
      </x:c>
      <x:c r="L73" s="80"/>
      <x:c r="M73" s="80"/>
      <x:c r="N73" s="80" t="str">
        <x:v>The UI allows an empty optional selection and falls back to required cards; this matches reducer semantics but is not stated in the prompt.</x:v>
      </x:c>
      <x:c r="O73" s="80" t="str">
        <x:v>site/play.js:3018-3047,3326-3329; site/engine.js:5896-5922</x:v>
      </x:c>
    </x:row>
    <x:row r="74" ht="21.600000381469727" hidden="0" customHeight="1">
      <x:c r="A74" s="80" t="str">
        <x:v>GP-027</x:v>
      </x:c>
      <x:c r="B74" s="80" t="str">
        <x:v>Gameplay</x:v>
      </x:c>
      <x:c r="C74" s="80" t="str">
        <x:v>Active player</x:v>
      </x:c>
      <x:c r="D74" s="80" t="str">
        <x:v>As an active player, I can continue to draw; when a protection/draw-replacement choice is raised, choose Draw or Skip.</x:v>
      </x:c>
      <x:c r="E74" s="80" t="str">
        <x:v>Draw respects Stack exhaustion/decked-out result; Skip grants the advertised attack shield.</x:v>
      </x:c>
      <x:c r="F74" s="80" t="str">
        <x:v>/play.html</x:v>
      </x:c>
      <x:c r="G74" s="80" t="str">
        <x:v>Active player; Draw step</x:v>
      </x:c>
      <x:c r="H74" s="80" t="str">
        <x:v>Continue to draw; when a protection/draw-replacement choice is raised, choose Draw or Skip</x:v>
      </x:c>
      <x:c r="I74" s="80" t="str">
        <x:v>engine.test.mjs: decked-out/endgame; wave10.test.mjs: “Offline Sanctuary offers a draw replacement…”</x:v>
      </x:c>
      <x:c r="J74" s="80" t="str">
        <x:v>Not Run</x:v>
      </x:c>
      <x:c r="K74" s="80" t="str">
        <x:v>Not Run</x:v>
      </x:c>
      <x:c r="L74" s="80"/>
      <x:c r="M74" s="80"/>
      <x:c r="N74" s="80" t="str">
        <x:v>None found statically.</x:v>
      </x:c>
      <x:c r="O74" s="80" t="str">
        <x:v>site/play.js:2912-3047,3088-3104; site/engine.js:4500-4660,5924-5939,1893-1924</x:v>
      </x:c>
    </x:row>
    <x:row r="75" ht="32.400001525878906" hidden="0" customHeight="1">
      <x:c r="A75" s="80" t="str">
        <x:v>GP-028</x:v>
      </x:c>
      <x:c r="B75" s="80" t="str">
        <x:v>Gameplay</x:v>
      </x:c>
      <x:c r="C75" s="80" t="str">
        <x:v>Active player</x:v>
      </x:c>
      <x:c r="D75" s="80" t="str">
        <x:v>As an active player, I can continue through maintenance and phase changes.</x:v>
      </x:c>
      <x:c r="E75" s="80" t="str">
        <x:v>Uptime/maintenance triggers resolve, and both seats’ unspent Buffers burn at every boundary/clash boundary with visible BURN events.</x:v>
      </x:c>
      <x:c r="F75" s="80" t="str">
        <x:v>/play.html</x:v>
      </x:c>
      <x:c r="G75" s="80" t="str">
        <x:v>Active player; Maintenance/phase boundary</x:v>
      </x:c>
      <x:c r="H75" s="80" t="str">
        <x:v>Continue through maintenance and phase changes</x:v>
      </x:c>
      <x:c r="I75" s="80" t="str">
        <x:v>engine.test.mjs: “§12.1 BOTH Buffers burn…”; triggers.test.mjs: maintenance triggers</x:v>
      </x:c>
      <x:c r="J75" s="80" t="str">
        <x:v>Not Run</x:v>
      </x:c>
      <x:c r="K75" s="80" t="str">
        <x:v>Not Run</x:v>
      </x:c>
      <x:c r="L75" s="80"/>
      <x:c r="M75" s="80"/>
      <x:c r="N75" s="80" t="str">
        <x:v>The End-turn button now says “burns N”, but the first-click phase auto-advance helper stops and asks the player to Continue when a Buffer is held; this is safe but may be surprising.</x:v>
      </x:c>
      <x:c r="O75" s="80" t="str">
        <x:v>site/engine.js:1270-1453,4417-4790; site/play.js:978-989,1782-1817,218-797</x:v>
      </x:c>
    </x:row>
    <x:row r="76" ht="21.600000381469727" hidden="0" customHeight="1">
      <x:c r="A76" s="80" t="str">
        <x:v>GP-029</x:v>
      </x:c>
      <x:c r="B76" s="80" t="str">
        <x:v>Gameplay</x:v>
      </x:c>
      <x:c r="C76" s="80" t="str">
        <x:v>Active player</x:v>
      </x:c>
      <x:c r="D76" s="80" t="str">
        <x:v>As an active player, I can click a Basic Resource in Wallet.</x:v>
      </x:c>
      <x:c r="E76" s="80" t="str">
        <x:v>Exactly one Resource play is allowed per turn unless a card modifies the allowance; the card moves to Network, generates its effect, and priority remains with the player.</x:v>
      </x:c>
      <x:c r="F76" s="80" t="str">
        <x:v>/play.html</x:v>
      </x:c>
      <x:c r="G76" s="80" t="str">
        <x:v>Active player; Build I/II and empty Queue</x:v>
      </x:c>
      <x:c r="H76" s="80" t="str">
        <x:v>Click a Basic Resource in Wallet</x:v>
      </x:c>
      <x:c r="I76" s="80" t="str">
        <x:v>engine.test.mjs: “§5.1 the Resource play is once per turn…”; wave8.test.mjs: Fast Channel</x:v>
      </x:c>
      <x:c r="J76" s="80" t="str">
        <x:v>Not Run</x:v>
      </x:c>
      <x:c r="K76" s="80" t="str">
        <x:v>Not Run</x:v>
      </x:c>
      <x:c r="L76" s="80"/>
      <x:c r="M76" s="80"/>
      <x:c r="N76" s="80" t="str">
        <x:v>None found statically.</x:v>
      </x:c>
      <x:c r="O76" s="80" t="str">
        <x:v>site/play.js:1256-1260,971-995; site/engine.js:5390-5416</x:v>
      </x:c>
    </x:row>
    <x:row r="77" ht="32.400001525878906" hidden="0" customHeight="1">
      <x:c r="A77" s="80" t="str">
        <x:v>GP-030</x:v>
      </x:c>
      <x:c r="B77" s="80" t="str">
        <x:v>Gameplay</x:v>
      </x:c>
      <x:c r="C77" s="80" t="str">
        <x:v>Active player</x:v>
      </x:c>
      <x:c r="D77" s="80" t="str">
        <x:v>As an active player, I can click card, choose mode/X if required, target if required, and submit.</x:v>
      </x:c>
      <x:c r="E77" s="80" t="str">
        <x:v>Exact Buffer payment/tax/commit requirements are checked; card enters Queue, remains inspectable, and resolves only after priority passes.</x:v>
      </x:c>
      <x:c r="F77" s="80" t="str">
        <x:v>/play.html</x:v>
      </x:c>
      <x:c r="G77" s="80" t="str">
        <x:v>Active player; affordable non-Resource in Build</x:v>
      </x:c>
      <x:c r="H77" s="80" t="str">
        <x:v>Click card, choose mode/X if required, target if required, and submit</x:v>
      </x:c>
      <x:c r="I77" s="80" t="str">
        <x:v>client.test.mjs: target/X tests; engine.test.mjs: payment/Queue cases; wave7.test.mjs: modal card modes</x:v>
      </x:c>
      <x:c r="J77" s="80" t="str">
        <x:v>Not Run</x:v>
      </x:c>
      <x:c r="K77" s="80" t="str">
        <x:v>Not Run</x:v>
      </x:c>
      <x:c r="L77" s="80"/>
      <x:c r="M77" s="80"/>
      <x:c r="N77" s="80" t="str">
        <x:v>playAdvancing can advance empty-buffer early phases automatically, but does not do so remotely; the same click has different latency/phase behavior in local versus network play (suspected UX inconsistency).</x:v>
      </x:c>
      <x:c r="O77" s="80" t="str">
        <x:v>site/play.js:1256-1344,2892-3047; site/engine.js:5418-5523,6337-6377</x:v>
      </x:c>
    </x:row>
    <x:row r="78" ht="21.600000381469727" hidden="0" customHeight="1">
      <x:c r="A78" s="80" t="str">
        <x:v>GP-031</x:v>
      </x:c>
      <x:c r="B78" s="80" t="str">
        <x:v>Gameplay</x:v>
      </x:c>
      <x:c r="C78" s="80" t="str">
        <x:v>Active player</x:v>
      </x:c>
      <x:c r="D78" s="80" t="str">
        <x:v>As an active player, I can open card detail/inspector or context menu and activate a scripted ability, Resource ability, or tribal granted ability.</x:v>
      </x:c>
      <x:c r="E78" s="80" t="str">
        <x:v>Resource abilities resolve immediately; regular abilities pay/commit and use Queue; granted abilities identify grantor and obey engine legality.</x:v>
      </x:c>
      <x:c r="F78" s="80" t="str">
        <x:v>/play.html</x:v>
      </x:c>
      <x:c r="G78" s="80" t="str">
        <x:v>Active player; Network permanent with ability</x:v>
      </x:c>
      <x:c r="H78" s="80" t="str">
        <x:v>Open card detail/inspector or context menu and activate a scripted ability, Resource ability, or tribal granted ability</x:v>
      </x:c>
      <x:c r="I78" s="80" t="str">
        <x:v>engine.test.mjs: Resource ability; wave9.test.mjs: simple Hardware activations; wave12.test.mjs: granted ability</x:v>
      </x:c>
      <x:c r="J78" s="80" t="str">
        <x:v>Not Run</x:v>
      </x:c>
      <x:c r="K78" s="80" t="str">
        <x:v>Not Run</x:v>
      </x:c>
      <x:c r="L78" s="80"/>
      <x:c r="M78" s="80"/>
      <x:c r="N78" s="80" t="str">
        <x:v>Manual/junction abilities are intentionally not direct activations; they become proposals (GP-050).</x:v>
      </x:c>
      <x:c r="O78" s="80" t="str">
        <x:v>site/play.js:1102-1147,1201-1252,1346-1372; site/engine.js:5525-5644</x:v>
      </x:c>
    </x:row>
    <x:row r="79" ht="21.600000381469727" hidden="0" customHeight="1">
      <x:c r="A79" s="80" t="str">
        <x:v>GP-032</x:v>
      </x:c>
      <x:c r="B79" s="80" t="str">
        <x:v>Gameplay</x:v>
      </x:c>
      <x:c r="C79" s="80" t="str">
        <x:v>Player</x:v>
      </x:c>
      <x:c r="D79" s="80" t="str">
        <x:v>As a player, I can press Continue, click Queue, or press Space.</x:v>
      </x:c>
      <x:c r="E79" s="80" t="str">
        <x:v>Priority passes; pending Queue items/choices/triggers resolve in order, with a human-readable prompt for the next decision.</x:v>
      </x:c>
      <x:c r="F79" s="80" t="str">
        <x:v>/play.html</x:v>
      </x:c>
      <x:c r="G79" s="80" t="str">
        <x:v>Player; Queue has a card/trigger</x:v>
      </x:c>
      <x:c r="H79" s="80" t="str">
        <x:v>Press Continue, click Queue, or press Space</x:v>
      </x:c>
      <x:c r="I79" s="80" t="str">
        <x:v>client.test.mjs: Queue rendering; engine.test.mjs: Queue/replay/trigger cases</x:v>
      </x:c>
      <x:c r="J79" s="80" t="str">
        <x:v>Not Run</x:v>
      </x:c>
      <x:c r="K79" s="80" t="str">
        <x:v>Not Run</x:v>
      </x:c>
      <x:c r="L79" s="80"/>
      <x:c r="M79" s="80"/>
      <x:c r="N79" s="80" t="str">
        <x:v>Space is suppressed in inputs/buttons/dialogs/context menus, but browser-level shortcut conflicts are possible (minor UX concern).</x:v>
      </x:c>
      <x:c r="O79" s="80" t="str">
        <x:v>site/play.html:913-918,938-940; site/play.js:2892-3362,4381-4406; site/engine.js:4683-4790,5840-5894</x:v>
      </x:c>
    </x:row>
    <x:row r="80" ht="21.600000381469727" hidden="0" customHeight="1">
      <x:c r="A80" s="80" t="str">
        <x:v>GP-033</x:v>
      </x:c>
      <x:c r="B80" s="80" t="str">
        <x:v>Gameplay</x:v>
      </x:c>
      <x:c r="C80" s="80" t="str">
        <x:v>Active player</x:v>
      </x:c>
      <x:c r="D80" s="80" t="str">
        <x:v>As an active player, I can press End turn.</x:v>
      </x:c>
      <x:c r="E80" s="80" t="str">
        <x:v>Local hotseat emits a bounded burst of PASS_PRIORITY actions and stops on a decision/turn change/rejection; remote sends one action and waits for the referee.</x:v>
      </x:c>
      <x:c r="F80" s="80" t="str">
        <x:v>/play.html</x:v>
      </x:c>
      <x:c r="G80" s="80" t="str">
        <x:v>Active player; ready to finish turn</x:v>
      </x:c>
      <x:c r="H80" s="80" t="str">
        <x:v>Press End turn</x:v>
      </x:c>
      <x:c r="I80" s="80" t="str">
        <x:v>engine.test.mjs: phase/priority; net.test.mjs: same-seq and remote action tests</x:v>
      </x:c>
      <x:c r="J80" s="80" t="str">
        <x:v>Not Run</x:v>
      </x:c>
      <x:c r="K80" s="80" t="str">
        <x:v>Not Run</x:v>
      </x:c>
      <x:c r="L80" s="80"/>
      <x:c r="M80" s="80"/>
      <x:c r="N80" s="80" t="str">
        <x:v>“End turn” is still enabled while awaiting some local choices but stops safely; wording could distinguish “pass priority” from “confirm choice”.</x:v>
      </x:c>
      <x:c r="O80" s="80" t="str">
        <x:v>site/play.js:1782-1817,3274-3362,4338-4354; site/engine.js:5265-5306</x:v>
      </x:c>
    </x:row>
    <x:row r="81" ht="21.600000381469727" hidden="0" customHeight="1">
      <x:c r="A81" s="80" t="str">
        <x:v>GP-034</x:v>
      </x:c>
      <x:c r="B81" s="80" t="str">
        <x:v>Gameplay</x:v>
      </x:c>
      <x:c r="C81" s="80" t="str">
        <x:v>Player</x:v>
      </x:c>
      <x:c r="D81" s="80" t="str">
        <x:v>As a player, I can choose the exact cards to discard at Cleanup.</x:v>
      </x:c>
      <x:c r="E81" s="80" t="str">
        <x:v>The UI defaults to the first over-limit cards; engine requires exact discard count and archives selected cards.</x:v>
      </x:c>
      <x:c r="F81" s="80" t="str">
        <x:v>/play.html</x:v>
      </x:c>
      <x:c r="G81" s="80" t="str">
        <x:v>Player; hand exceeds limit</x:v>
      </x:c>
      <x:c r="H81" s="80" t="str">
        <x:v>At Cleanup, choose cards or Continue</x:v>
      </x:c>
      <x:c r="I81" s="80" t="str">
        <x:v>engine.test.mjs: “the hand limit is a player decision…”</x:v>
      </x:c>
      <x:c r="J81" s="80" t="str">
        <x:v>Not Run</x:v>
      </x:c>
      <x:c r="K81" s="80" t="str">
        <x:v>Not Run</x:v>
      </x:c>
      <x:c r="L81" s="80"/>
      <x:c r="M81" s="80"/>
      <x:c r="N81" s="80" t="str">
        <x:v>Defaulting to first cards can discard a valuable card if the user presses Continue without reviewing; this is a suspected UX hazard.</x:v>
      </x:c>
      <x:c r="O81" s="80" t="str">
        <x:v>site/play.js:3018-3047,3314-3318; site/engine.js:500-518,6045-6064</x:v>
      </x:c>
    </x:row>
    <x:row r="82" ht="21.600000381469727" hidden="0" customHeight="1">
      <x:c r="A82" s="80" t="str">
        <x:v>GP-035</x:v>
      </x:c>
      <x:c r="B82" s="80" t="str">
        <x:v>Gameplay</x:v>
      </x:c>
      <x:c r="C82" s="80" t="str">
        <x:v>Player</x:v>
      </x:c>
      <x:c r="D82" s="80" t="str">
        <x:v>As a player, I can read pending trigger prompt, choose/order all required trigger IDs, and Continue.</x:v>
      </x:c>
      <x:c r="E82" s="80" t="str">
        <x:v>Engine rejects incomplete/foreign order and resumes Queue only after every required trigger is named.</x:v>
      </x:c>
      <x:c r="F82" s="80" t="str">
        <x:v>/play.html</x:v>
      </x:c>
      <x:c r="G82" s="80" t="str">
        <x:v>Player; trigger order is pending</x:v>
      </x:c>
      <x:c r="H82" s="80" t="str">
        <x:v>Read pending trigger prompt, choose/order all required trigger IDs, and Continue</x:v>
      </x:c>
      <x:c r="I82" s="80" t="str">
        <x:v>triggers.test.mjs: trigger queue/public records/fizzle tests; engine.test.mjs: view trigger tests</x:v>
      </x:c>
      <x:c r="J82" s="80" t="str">
        <x:v>Not Run</x:v>
      </x:c>
      <x:c r="K82" s="80" t="str">
        <x:v>Not Run</x:v>
      </x:c>
      <x:c r="L82" s="80"/>
      <x:c r="M82" s="80"/>
      <x:c r="N82" s="80" t="str">
        <x:v>None found statically.</x:v>
      </x:c>
      <x:c r="O82" s="80" t="str">
        <x:v>site/play.js:3319-3325; site/engine.js:4860-4948,5878-5894; site/engine.js:6722-6871</x:v>
      </x:c>
    </x:row>
    <x:row r="83" ht="291.6000061035156" hidden="0" customHeight="1">
      <x:c r="A83" s="80" t="str">
        <x:v>GP-036</x:v>
      </x:c>
      <x:c r="B83" s="80" t="str">
        <x:v>Gameplay</x:v>
      </x:c>
      <x:c r="C83" s="80" t="str">
        <x:v>Player</x:v>
      </x:c>
      <x:c r="D83" s="80" t="str">
        <x:v>As a player, I can resolve every declarative card operation without executing arbitrary metadata code.</x:v>
      </x:c>
      <x:c r="E83" s="80" t="str">
        <x:v>The expected user-visible result is a resolved Queue item, state event(s), and any further choice prompt, with no arbitrary JavaScript execution from card metadata.</x:v>
      </x:c>
      <x:c r="F83" s="80" t="str">
        <x:v>/play.html</x:v>
      </x:c>
      <x:c r="G83" s="80" t="str">
        <x:v>Player; card effect resolves</x:v>
      </x:c>
      <x:c r="H83" s="80" t="str">
        <x:v>Across the 295-card catalog, declarative operations perform the following through runOp: generation and resource conversion (generate, uptime, draw, discard, searchStack, generateEventAffinity); payment/Buffer (mayPay, drainBuffer, stealGeneratedBuffer, generateArchivedCost, feeSpike, maintenanceLeak); combat (damage, pump, prevent, preventClashDamage, limitClashDamage, redirectDamage, redirectSelfDamage, preventAndRefund, divideDamage, finalSettlement); movement/lifecycle (decommission, reboot, bounce, moveTop, coldStorage, resetZones, discardWalletDraw, moveObject, archiveBoot, archiveReturn, launchAvatar, resourceTombstone); state/effects (grant, unlock, commit, toggleCommitted, unlockSelf, unlockAttached, setAffinity, setAffinityWhileSource, setAffinityWhileSource, addCounter, overclock, refillCounter, loseHalfUptime, extraTurn, delayDecommissionEventAvatar); targeting/keywords (forceBlockAll, cantBeBlocked, becomesAvatar, forceAttackTarget, groundAttachedBroadcast, guardianSignal, grantUptimeResourceAbility, grantKeyword); special scripted cards (createProxy, stakeContract, stakeSwap, stateMirror, archiveSelfIfNoAvatars, additionalArchiveAvatar, fairState, rewriteWords, callToRelay, gridEruption, committedGrowth, uptimeChannel, selfCustodyMaintenance, resourceReclaimer, routeMisdirection, topologyScan, identityMask, migrateAttachment, digitalToss, copyQueue, stakeArbitration, sovereignMode, chooseAffinityOnEnter, copyOnEnter, adaptiveCopy, splitRoute, obfuscatedFormation)</x:v>
      </x:c>
      <x:c r="I83" s="80" t="str">
        <x:v>wave2–wave12, triggers.test.mjs, wave11.test.mjs: “every operation emitted … has a runOp case”</x:v>
      </x:c>
      <x:c r="J83" s="80" t="str">
        <x:v>Not Run</x:v>
      </x:c>
      <x:c r="K83" s="80" t="str">
        <x:v>Not Run</x:v>
      </x:c>
      <x:c r="L83" s="80"/>
      <x:c r="M83" s="80"/>
      <x:c r="N83" s="80" t="str">
        <x:v>The UI’s generic manual opsText prints raw operation keys/JSON for proposals; this is useful for audit but not beginner-friendly (suspected UX defect).</x:v>
      </x:c>
      <x:c r="O83" s="80" t="str">
        <x:v>site/play-data.js:1-4; site/engine.js:249-632,2248-3650; site/play.js:218-797</x:v>
      </x:c>
    </x:row>
    <x:row r="84" ht="21.600000381469727" hidden="0" customHeight="1">
      <x:c r="A84" s="80" t="str">
        <x:v>GP-037</x:v>
      </x:c>
      <x:c r="B84" s="80" t="str">
        <x:v>Gameplay</x:v>
      </x:c>
      <x:c r="C84" s="80" t="str">
        <x:v>Player</x:v>
      </x:c>
      <x:c r="D84" s="80" t="str">
        <x:v>As a player, I can resolve bounce, archive, Cold Storage, attachments, proxies, copy-on-enter, Archive Boot/Restore, and orphan cleanup.</x:v>
      </x:c>
      <x:c r="E84" s="80" t="str">
        <x:v>Object IDs are reminted on movement while audit provenance remains engine-only; rendered rails update by live card identity/effects.</x:v>
      </x:c>
      <x:c r="F84" s="80" t="str">
        <x:v>/play.html</x:v>
      </x:c>
      <x:c r="G84" s="80" t="str">
        <x:v>Player; card changes zone or attaches</x:v>
      </x:c>
      <x:c r="H84" s="80" t="str">
        <x:v>Resolve bounce, archive, Cold Storage, attachments, proxies, copy-on-enter, Archive Boot/Restore, and orphan cleanup</x:v>
      </x:c>
      <x:c r="I84" s="80" t="str">
        <x:v>engine.test.mjs: object/view/event anchor tests; waves 4, 8, 11, 12</x:v>
      </x:c>
      <x:c r="J84" s="80" t="str">
        <x:v>Not Run</x:v>
      </x:c>
      <x:c r="K84" s="80" t="str">
        <x:v>Not Run</x:v>
      </x:c>
      <x:c r="L84" s="80"/>
      <x:c r="M84" s="80"/>
      <x:c r="N84" s="80" t="str">
        <x:v>None found statically.</x:v>
      </x:c>
      <x:c r="O84" s="80" t="str">
        <x:v>site/engine.js:721-935,6337-6377; site/play.js:2288-2365; wave4/8/11/12.test.mjs</x:v>
      </x:c>
    </x:row>
    <x:row r="85" ht="32.400001525878906" hidden="0" customHeight="1">
      <x:c r="A85" s="80" t="str">
        <x:v>GP-038</x:v>
      </x:c>
      <x:c r="B85" s="80" t="str">
        <x:v>Gameplay</x:v>
      </x:c>
      <x:c r="C85" s="80" t="str">
        <x:v>Player</x:v>
      </x:c>
      <x:c r="D85" s="80" t="str">
        <x:v>As a player, I can damage, Uptime loss, concession, deck exhaustion, Reboot, Sovereign Mode, and simultaneous losses are checked after actions/triggers.</x:v>
      </x:c>
      <x:c r="E85" s="80" t="str">
        <x:v>A lethal Avatar decommissions unless protected; simultaneous loss is a draw; game over clears pending interactions.</x:v>
      </x:c>
      <x:c r="F85" s="80" t="str">
        <x:v>/play.html</x:v>
      </x:c>
      <x:c r="G85" s="80" t="str">
        <x:v>Player; lethal/state check</x:v>
      </x:c>
      <x:c r="H85" s="80" t="str">
        <x:v>Damage, Uptime loss, concession, deck exhaustion, Reboot, Sovereign Mode, and simultaneous losses are checked after actions/triggers</x:v>
      </x:c>
      <x:c r="I85" s="80" t="str">
        <x:v>engine.test.mjs: simultaneous draw, lethal/Reboot, endgame tests; wave12.test.mjs: Sovereign Mode</x:v>
      </x:c>
      <x:c r="J85" s="80" t="str">
        <x:v>Not Run</x:v>
      </x:c>
      <x:c r="K85" s="80" t="str">
        <x:v>Not Run</x:v>
      </x:c>
      <x:c r="L85" s="80"/>
      <x:c r="M85" s="80"/>
      <x:c r="N85" s="80" t="str">
        <x:v>None found statically.</x:v>
      </x:c>
      <x:c r="O85" s="80" t="str">
        <x:v>site/engine.js:1710-1924,1893-1924; site/play.js:3705-3762</x:v>
      </x:c>
    </x:row>
    <x:row r="86" ht="21.600000381469727" hidden="0" customHeight="1">
      <x:c r="A86" s="80" t="str">
        <x:v>GP-039</x:v>
      </x:c>
      <x:c r="B86" s="80" t="str">
        <x:v>Gameplay</x:v>
      </x:c>
      <x:c r="C86" s="80" t="str">
        <x:v>Player</x:v>
      </x:c>
      <x:c r="D86" s="80" t="str">
        <x:v>As a player, I can inspect E1_GAME.hash, publicHash, log, verify; replay the action log.</x:v>
      </x:c>
      <x:c r="E86" s="80" t="str">
        <x:v>The same config/log rebuilds the head hash and detects tampered or malformed entries at the first divergence.</x:v>
      </x:c>
      <x:c r="F86" s="80" t="str">
        <x:v>/play.html</x:v>
      </x:c>
      <x:c r="G86" s="80" t="str">
        <x:v>Player; deterministic transcript</x:v>
      </x:c>
      <x:c r="H86" s="80" t="str">
        <x:v>Inspect E1_GAME.hash, publicHash, log, verify; replay the action log</x:v>
      </x:c>
      <x:c r="I86" s="80" t="str">
        <x:v>engine.test.mjs: replay/head hash, tampered transcript, malformed transcript</x:v>
      </x:c>
      <x:c r="J86" s="80" t="str">
        <x:v>Not Run</x:v>
      </x:c>
      <x:c r="K86" s="80" t="str">
        <x:v>Not Run</x:v>
      </x:c>
      <x:c r="L86" s="80"/>
      <x:c r="M86" s="80"/>
      <x:c r="N86" s="80" t="str">
        <x:v>Hotseat session.log is in memory only; browser reload of a local match cannot recover it (suspected persistence gap; remote matches have a separate resume path).</x:v>
      </x:c>
      <x:c r="O86" s="80" t="str">
        <x:v>site/play.js:4449-4472; site/engine.js:6511-6672</x:v>
      </x:c>
    </x:row>
    <x:row r="87" ht="21.600000381469727" hidden="0" customHeight="1">
      <x:c r="A87" s="80" t="str">
        <x:v>GP-040</x:v>
      </x:c>
      <x:c r="B87" s="80" t="str">
        <x:v>Gameplay</x:v>
      </x:c>
      <x:c r="C87" s="80" t="str">
        <x:v>Active player</x:v>
      </x:c>
      <x:c r="D87" s="80" t="str">
        <x:v>As an active player, I can click/keyboard an eligible Network Avatar, drag it toward the opponent, or choose Send all.</x:v>
      </x:c>
      <x:c r="E87" s="80" t="str">
        <x:v>Continue submits one atomic DECLARE_ATTACKERS; engine rejects Wallet/non-Avatar, committed, Boot Delay, dependency, and other illegal attackers.</x:v>
      </x:c>
      <x:c r="F87" s="80" t="str">
        <x:v>/play.html</x:v>
      </x:c>
      <x:c r="G87" s="80" t="str">
        <x:v>Active player; Clash/Attackers awaiting</x:v>
      </x:c>
      <x:c r="H87" s="80" t="str">
        <x:v>Click/keyboard an eligible Network Avatar, drag it toward the opponent, or choose Send all</x:v>
      </x:c>
      <x:c r="I87" s="80" t="str">
        <x:v>engine.test.mjs: attackers only from Network, Boot Delay; client.test.mjs: “attack UI forms…”</x:v>
      </x:c>
      <x:c r="J87" s="80" t="str">
        <x:v>Not Run</x:v>
      </x:c>
      <x:c r="K87" s="80" t="str">
        <x:v>Not Run</x:v>
      </x:c>
      <x:c r="L87" s="80"/>
      <x:c r="M87" s="80"/>
      <x:c r="N87" s="80" t="str">
        <x:v>Send all includes every currently eligible Avatar, which is convenient but can be strategically hazardous; no confirmation is expected by design.</x:v>
      </x:c>
      <x:c r="O87" s="80" t="str">
        <x:v>site/play.js:1770-1780,2641-2675,2810-2890,3180-3203,3274-3297; site/engine.js:4955-4992,5646-5715</x:v>
      </x:c>
    </x:row>
    <x:row r="88" ht="32.400001525878906" hidden="0" customHeight="1">
      <x:c r="A88" s="80" t="str">
        <x:v>GP-041</x:v>
      </x:c>
      <x:c r="B88" s="80" t="str">
        <x:v>Gameplay</x:v>
      </x:c>
      <x:c r="C88" s="80" t="str">
        <x:v>Active attacker</x:v>
      </x:c>
      <x:c r="D88" s="80" t="str">
        <x:v>As an active attacker, I can select at least two attackers including at least one Mesh and no more than one non-Mesh, press Form Mesh, then Continue.</x:v>
      </x:c>
      <x:c r="E88" s="80" t="str">
        <x:v>Engine records a shared Mesh group and blocked status propagates to the group.</x:v>
      </x:c>
      <x:c r="F88" s="80" t="str">
        <x:v>/play.html</x:v>
      </x:c>
      <x:c r="G88" s="80" t="str">
        <x:v>Active attacker; eligible Mesh cards selected</x:v>
      </x:c>
      <x:c r="H88" s="80" t="str">
        <x:v>Select at least two attackers including at least one Mesh and no more than one non-Mesh, press Form Mesh, then Continue</x:v>
      </x:c>
      <x:c r="I88" s="80" t="str">
        <x:v>engine.test.mjs: “Mesh groups share blocked status…”; client.test.mjs: original-rules Mesh UI</x:v>
      </x:c>
      <x:c r="J88" s="80" t="str">
        <x:v>Not Run</x:v>
      </x:c>
      <x:c r="K88" s="80" t="str">
        <x:v>Not Run</x:v>
      </x:c>
      <x:c r="L88" s="80"/>
      <x:c r="M88" s="80"/>
      <x:c r="N88" s="80" t="str">
        <x:v>None found statically.</x:v>
      </x:c>
      <x:c r="O88" s="80" t="str">
        <x:v>site/play.js:2990-3016,3290-3297; site/engine.js:343-380,5646-5715</x:v>
      </x:c>
    </x:row>
    <x:row r="89" ht="21.600000381469727" hidden="0" customHeight="1">
      <x:c r="A89" s="80" t="str">
        <x:v>GP-042</x:v>
      </x:c>
      <x:c r="B89" s="80" t="str">
        <x:v>Gameplay</x:v>
      </x:c>
      <x:c r="C89" s="80" t="str">
        <x:v>Defender</x:v>
      </x:c>
      <x:c r="D89" s="80" t="str">
        <x:v>As a defender, I can click an attacker then a legal own Avatar, drag Avatar to attacker, or clear pending blocks.</x:v>
      </x:c>
      <x:c r="E89" s="80" t="str">
        <x:v>Continue submits atomic DECLARE_BLOCKERS; Broadcast, Shielded, Backchannel, Firewall, route, commit, and must-block rules are checked by engine/UI.</x:v>
      </x:c>
      <x:c r="F89" s="80" t="str">
        <x:v>/play.html</x:v>
      </x:c>
      <x:c r="G89" s="80" t="str">
        <x:v>Defender; Blockers awaiting</x:v>
      </x:c>
      <x:c r="H89" s="80" t="str">
        <x:v>Click an attacker then a legal own Avatar, drag Avatar to attacker, or clear pending blocks</x:v>
      </x:c>
      <x:c r="I89" s="80" t="str">
        <x:v>engine.test.mjs: blocking Mesh/routes/order; wave6/10.test.mjs: blockers/shields; client.test.mjs: clash UI</x:v>
      </x:c>
      <x:c r="J89" s="80" t="str">
        <x:v>Not Run</x:v>
      </x:c>
      <x:c r="K89" s="80" t="str">
        <x:v>Not Run</x:v>
      </x:c>
      <x:c r="L89" s="80"/>
      <x:c r="M89" s="80"/>
      <x:c r="N89" s="80" t="str">
        <x:v>The refusal text names several possible gates together; a player may not know which specific gate applied without opening each glossary item (suspected UX issue).</x:v>
      </x:c>
      <x:c r="O89" s="80" t="str">
        <x:v>site/play.js:3221-3272,3298-3304; site/engine.js:5006-5060,5717-5805</x:v>
      </x:c>
    </x:row>
    <x:row r="90" ht="21.600000381469727" hidden="0" customHeight="1">
      <x:c r="A90" s="80" t="str">
        <x:v>GP-043</x:v>
      </x:c>
      <x:c r="B90" s="80" t="str">
        <x:v>Gameplay</x:v>
      </x:c>
      <x:c r="C90" s="80" t="str">
        <x:v>Defender</x:v>
      </x:c>
      <x:c r="D90" s="80" t="str">
        <x:v>As a defender, I can continue from blockers to Order, then confirm blocker order.</x:v>
      </x:c>
      <x:c r="E90" s="80" t="str">
        <x:v>Every blocker must appear exactly once and only the attacker controller can order; otherwise engine rejects without partial mutation.</x:v>
      </x:c>
      <x:c r="F90" s="80" t="str">
        <x:v>/play.html</x:v>
      </x:c>
      <x:c r="G90" s="80" t="str">
        <x:v>Defender; multiple blockers</x:v>
      </x:c>
      <x:c r="H90" s="80" t="str">
        <x:v>Continue from blockers to Order, then confirm blocker order</x:v>
      </x:c>
      <x:c r="I90" s="80" t="str">
        <x:v>engine.test.mjs: “two blockers raise ORDER_BLOCKERS…”</x:v>
      </x:c>
      <x:c r="J90" s="80" t="str">
        <x:v>Not Run</x:v>
      </x:c>
      <x:c r="K90" s="80" t="str">
        <x:v>Not Run</x:v>
      </x:c>
      <x:c r="L90" s="80"/>
      <x:c r="M90" s="80"/>
      <x:c r="N90" s="80" t="str">
        <x:v>None found statically.</x:v>
      </x:c>
      <x:c r="O90" s="80" t="str">
        <x:v>site/play.js:3305-3309; site/engine.js:458-475,5807-5824</x:v>
      </x:c>
    </x:row>
    <x:row r="91" ht="32.400001525878906" hidden="0" customHeight="1">
      <x:c r="A91" s="80" t="str">
        <x:v>GP-044</x:v>
      </x:c>
      <x:c r="B91" s="80" t="str">
        <x:v>Gameplay</x:v>
      </x:c>
      <x:c r="C91" s="80" t="str">
        <x:v>Player</x:v>
      </x:c>
      <x:c r="D91" s="80" t="str">
        <x:v>As a player, I can view the clash strip before confirmation; it shows player damage, lethal, kills/losses, and “nothing dies”.</x:v>
      </x:c>
      <x:c r="E91" s="80" t="str">
        <x:v>Continue submits canonical minimal-lethal assignment or a validated custom assignment, then first strike/overflow/prevention/redirect/reboot resolve.</x:v>
      </x:c>
      <x:c r="F91" s="80" t="str">
        <x:v>/play.html</x:v>
      </x:c>
      <x:c r="G91" s="80" t="str">
        <x:v>Player; damage step</x:v>
      </x:c>
      <x:c r="H91" s="80" t="str">
        <x:v>View the clash strip before confirmation; it shows player damage, lethal, kills/losses, and “nothing dies”</x:v>
      </x:c>
      <x:c r="I91" s="80" t="str">
        <x:v>client.test.mjs: “clash preview promises exactly…”; engine.test.mjs: combat assignment; wave6/10/11 tests</x:v>
      </x:c>
      <x:c r="J91" s="80" t="str">
        <x:v>Not Run</x:v>
      </x:c>
      <x:c r="K91" s="80" t="str">
        <x:v>Not Run</x:v>
      </x:c>
      <x:c r="L91" s="80"/>
      <x:c r="M91" s="80"/>
      <x:c r="N91" s="80" t="str">
        <x:v>Preview is computed from a clone and is authoritative-equivalent, but users are not told when a pending local declaration changes the preview versus confirmed state beyond dashed arrows.</x:v>
      </x:c>
      <x:c r="O91" s="80" t="str">
        <x:v>site/play.js:2608-2635,3205-3217,3310-3313; site/engine.js:5074-5264,5826-5838</x:v>
      </x:c>
    </x:row>
    <x:row r="92" ht="32.400001525878906" hidden="0" customHeight="1">
      <x:c r="A92" s="80" t="str">
        <x:v>GP-045</x:v>
      </x:c>
      <x:c r="B92" s="80" t="str">
        <x:v>Gameplay</x:v>
      </x:c>
      <x:c r="C92" s="80" t="str">
        <x:v>Player</x:v>
      </x:c>
      <x:c r="D92" s="80" t="str">
        <x:v>As a player, I can read solid confirmed and dashed pending attack/block arrows; card labels expose attacking, blocking, meshed, cannot/can block, targetable, will die, and Boot Delay.</x:v>
      </x:c>
      <x:c r="E92" s="80" t="str">
        <x:v>Scroll/resize redraws arrows.</x:v>
      </x:c>
      <x:c r="F92" s="80" t="str">
        <x:v>/play.html</x:v>
      </x:c>
      <x:c r="G92" s="80" t="str">
        <x:v>Player; clash visual state</x:v>
      </x:c>
      <x:c r="H92" s="80" t="str">
        <x:v>Read solid confirmed and dashed pending attack/block arrows; card labels expose attacking, blocking, meshed, cannot/can block, targetable, will die, and Boot Delay</x:v>
      </x:c>
      <x:c r="I92" s="80" t="str">
        <x:v>client.test.mjs: clash/UI render tests</x:v>
      </x:c>
      <x:c r="J92" s="80" t="str">
        <x:v>Not Run</x:v>
      </x:c>
      <x:c r="K92" s="80" t="str">
        <x:v>Not Run</x:v>
      </x:c>
      <x:c r="L92" s="80"/>
      <x:c r="M92" s="80"/>
      <x:c r="N92" s="80" t="str">
        <x:v>SVG arrows are aria-hidden; non-visual users rely on card labels/prompts, which is correct but should remain regression-tested.</x:v>
      </x:c>
      <x:c r="O92" s="80" t="str">
        <x:v>site/play.js:1497-1737,2704-2776,4385-4396; site/play.html:1034-1046</x:v>
      </x:c>
    </x:row>
    <x:row r="93" ht="32.400001525878906" hidden="0" customHeight="1">
      <x:c r="A93" s="80" t="str">
        <x:v>GP-046</x:v>
      </x:c>
      <x:c r="B93" s="80" t="str">
        <x:v>Gameplay</x:v>
      </x:c>
      <x:c r="C93" s="80" t="str">
        <x:v>Player</x:v>
      </x:c>
      <x:c r="D93" s="80" t="str">
        <x:v>As a player, I can click highlighted card or player bar; variable-X targets toggle and Continue requires min/exact count; cancellation clears local intent without changing state.</x:v>
      </x:c>
      <x:c r="E93" s="80" t="str">
        <x:v>Player; any legal target is a seat, object, Queue card, type, affinity, keyword, owner/controller, or remote payer. Click highlighted card or player bar; variable-X targets toggle and Continue requires min/exact count; cancellation clears local intent without changing state.</x:v>
      </x:c>
      <x:c r="F93" s="80" t="str">
        <x:v>/play.html</x:v>
      </x:c>
      <x:c r="G93" s="80" t="str">
        <x:v>Player; any legal target is a seat, object, Queue card, type, affinity, keyword, owner/controller, or remote payer</x:v>
      </x:c>
      <x:c r="H93" s="80" t="str">
        <x:v>Click highlighted card or player bar; variable-X targets toggle and Continue requires min/exact count; cancellation clears local intent without changing state.</x:v>
      </x:c>
      <x:c r="I93" s="80" t="str">
        <x:v>client.test.mjs: “player is a clickable target…”; variable-target test; engine.test.mjs: schema/target tests</x:v>
      </x:c>
      <x:c r="J93" s="80" t="str">
        <x:v>Not Run</x:v>
      </x:c>
      <x:c r="K93" s="80" t="str">
        <x:v>Not Run</x:v>
      </x:c>
      <x:c r="L93" s="80"/>
      <x:c r="M93" s="80"/>
      <x:c r="N93" s="80" t="str">
        <x:v>Selection state is client-local and lost on network FRAME/reject by design; the prompt should make that clearer if a frame arrives while selecting.</x:v>
      </x:c>
      <x:c r="O93" s="80" t="str">
        <x:v>site/play.js:1374-1481,3018-3047,4356-4364; site/engine.js:364-527,4290-4355</x:v>
      </x:c>
    </x:row>
    <x:row r="94" ht="21.600000381469727" hidden="0" customHeight="1">
      <x:c r="A94" s="80" t="str">
        <x:v>GP-047</x:v>
      </x:c>
      <x:c r="B94" s="80" t="str">
        <x:v>Gameplay</x:v>
      </x:c>
      <x:c r="C94" s="80" t="str">
        <x:v>Player</x:v>
      </x:c>
      <x:c r="D94" s="80" t="str">
        <x:v>As a player, I can click an illegal card/target/phase/seat or submit malformed choice.</x:v>
      </x:c>
      <x:c r="E94" s="80" t="str">
        <x:v>The reducer returns the same state plus error code/message; UI shows notice, does not append a transcript entry, and clears/retains local selection as appropriate.</x:v>
      </x:c>
      <x:c r="F94" s="80" t="str">
        <x:v>/play.html</x:v>
      </x:c>
      <x:c r="G94" s="80" t="str">
        <x:v>Player; action rejected</x:v>
      </x:c>
      <x:c r="H94" s="80" t="str">
        <x:v>Click an illegal card/target/phase/seat or submit malformed choice</x:v>
      </x:c>
      <x:c r="I94" s="80" t="str">
        <x:v>engine.test.mjs: rejected action immutability/schema; client.test.mjs: illegal click/reject tests</x:v>
      </x:c>
      <x:c r="J94" s="80" t="str">
        <x:v>Not Run</x:v>
      </x:c>
      <x:c r="K94" s="80" t="str">
        <x:v>Not Run</x:v>
      </x:c>
      <x:c r="L94" s="80"/>
      <x:c r="M94" s="80"/>
      <x:c r="N94" s="80" t="str">
        <x:v>Local UI sometimes suppresses a known “not your seat” action before dispatch, while remote waits for server rejection; behavior differs but avoids needless traffic.</x:v>
      </x:c>
      <x:c r="O94" s="80" t="str">
        <x:v>site/play.js:95-150,3275-3362; site/engine.js:5308-5371,6514-6578</x:v>
      </x:c>
    </x:row>
    <x:row r="95" ht="21.600000381469727" hidden="0" customHeight="1">
      <x:c r="A95" s="80" t="str">
        <x:v>GP-048</x:v>
      </x:c>
      <x:c r="B95" s="80" t="str">
        <x:v>Gameplay</x:v>
      </x:c>
      <x:c r="C95" s="80" t="str">
        <x:v>Player</x:v>
      </x:c>
      <x:c r="D95" s="80" t="str">
        <x:v>As a player, I can choose a generated affinity/operation.</x:v>
      </x:c>
      <x:c r="E95" s="80" t="str">
        <x:v>UI emits a warrant-backed MANUAL_PROPOSE with bounded ops, author, reason, and card/ability reference; no direct state edit occurs.</x:v>
      </x:c>
      <x:c r="F95" s="80" t="str">
        <x:v>/play.html</x:v>
      </x:c>
      <x:c r="G95" s="80" t="str">
        <x:v>Player; assisted/junction card on Network or manual data button</x:v>
      </x:c>
      <x:c r="H95" s="80" t="str">
        <x:v>Choose a generated affinity/operation</x:v>
      </x:c>
      <x:c r="I95" s="80" t="str">
        <x:v>engine.test.mjs: warrant ownership, closed delta vocabulary, tier computation</x:v>
      </x:c>
      <x:c r="J95" s="80" t="str">
        <x:v>Not Run</x:v>
      </x:c>
      <x:c r="K95" s="80" t="str">
        <x:v>Not Run</x:v>
      </x:c>
      <x:c r="L95" s="80"/>
      <x:c r="M95" s="80"/>
      <x:c r="N95" s="80" t="str">
        <x:v>Generic opsText can expose internal field names; this is audit-transparent but not a polished player explanation.</x:v>
      </x:c>
      <x:c r="O95" s="80" t="str">
        <x:v>site/play.js:2244-2271,1102-1147,4416-4432; site/engine.js:6081-6230</x:v>
      </x:c>
    </x:row>
    <x:row r="96" ht="32.400001525878906" hidden="0" customHeight="1">
      <x:c r="A96" s="80" t="str">
        <x:v>GP-049</x:v>
      </x:c>
      <x:c r="B96" s="80" t="str">
        <x:v>Gameplay</x:v>
      </x:c>
      <x:c r="C96" s="80" t="str">
        <x:v>Opponent of a Tier B proposal</x:v>
      </x:c>
      <x:c r="D96" s="80" t="str">
        <x:v>As an opponent of a tier b proposal, I can read card text, tier, and operations; Accept applies it, Reject fizzles the Queue item without refund and records reason; proposer can Withdraw before verdict.</x:v>
      </x:c>
      <x:c r="E96" s="80" t="str">
        <x:v>Opponent of a Tier B proposal. Read card text, tier, and operations; Accept applies it, Reject fizzles the Queue item without refund and records reason; proposer can Withdraw before verdict.</x:v>
      </x:c>
      <x:c r="F96" s="80" t="str">
        <x:v>/play.html</x:v>
      </x:c>
      <x:c r="G96" s="80" t="str">
        <x:v>Opponent of a Tier B proposal</x:v>
      </x:c>
      <x:c r="H96" s="80" t="str">
        <x:v>Read card text, tier, and operations; Accept applies it, Reject fizzles the Queue item without refund and records reason; proposer can Withdraw before verdict.</x:v>
      </x:c>
      <x:c r="I96" s="80" t="str">
        <x:v>engine.test.mjs: “Tier B blocks the game until a verdict…”</x:v>
      </x:c>
      <x:c r="J96" s="80" t="str">
        <x:v>Not Run</x:v>
      </x:c>
      <x:c r="K96" s="80" t="str">
        <x:v>Not Run</x:v>
      </x:c>
      <x:c r="L96" s="80"/>
      <x:c r="M96" s="80"/>
      <x:c r="N96" s="80" t="str">
        <x:v>Reject button says “card fizzles” but does not repeat whether payment is refunded; test contract says no refund.</x:v>
      </x:c>
      <x:c r="O96" s="80" t="str">
        <x:v>site/play.js:3127-3153; site/engine.js:6081-6200</x:v>
      </x:c>
    </x:row>
    <x:row r="97" ht="21.600000381469727" hidden="0" customHeight="1">
      <x:c r="A97" s="80" t="str">
        <x:v>GP-050</x:v>
      </x:c>
      <x:c r="B97" s="80" t="str">
        <x:v>Gameplay</x:v>
      </x:c>
      <x:c r="C97" s="80" t="str">
        <x:v>Player with an open manual record</x:v>
      </x:c>
      <x:c r="D97" s="80" t="str">
        <x:v>As a player with an open manual record, I can proposer chooses Resolved/no change; other player may Flag with reason.</x:v>
      </x:c>
      <x:c r="E97" s="80" t="str">
        <x:v>Flag changes no game state and cannot be refused.</x:v>
      </x:c>
      <x:c r="F97" s="80" t="str">
        <x:v>/play.html</x:v>
      </x:c>
      <x:c r="G97" s="80" t="str">
        <x:v>Player with an open manual record</x:v>
      </x:c>
      <x:c r="H97" s="80" t="str">
        <x:v>Proposer chooses Resolved/no change; other player may Flag with reason</x:v>
      </x:c>
      <x:c r="I97" s="80" t="str">
        <x:v>engine.test.mjs: “MANUAL_FLAG changes nothing…”</x:v>
      </x:c>
      <x:c r="J97" s="80" t="str">
        <x:v>Not Run</x:v>
      </x:c>
      <x:c r="K97" s="80" t="str">
        <x:v>Not Run</x:v>
      </x:c>
      <x:c r="L97" s="80"/>
      <x:c r="M97" s="80"/>
      <x:c r="N97" s="80" t="str">
        <x:v>“Clear notice” is a non-obvious label for resolving the proposer’s own open record.</x:v>
      </x:c>
      <x:c r="O97" s="80" t="str">
        <x:v>site/play.js:3155-3171,4408-4414; site/engine.js:6200-6230</x:v>
      </x:c>
    </x:row>
    <x:row r="98" ht="32.400001525878906" hidden="0" customHeight="1">
      <x:c r="A98" s="80" t="str">
        <x:v>GP-051</x:v>
      </x:c>
      <x:c r="B98" s="80" t="str">
        <x:v>Gameplay</x:v>
      </x:c>
      <x:c r="C98" s="80" t="str">
        <x:v>Any player</x:v>
      </x:c>
      <x:c r="D98" s="80" t="str">
        <x:v>As an any player, I can try an unknown operation, out-of-scope UID, foreign warrant, excessive object/card/uptime/buffer/op delta, or direct state field.</x:v>
      </x:c>
      <x:c r="E98" s="80" t="str">
        <x:v>Engine rejects or flags it; declarative catalog metadata cannot execute arbitrary code or write turn/priority/RNG.</x:v>
      </x:c>
      <x:c r="F98" s="80" t="str">
        <x:v>/play.html</x:v>
      </x:c>
      <x:c r="G98" s="80" t="str">
        <x:v>Any player; hostile/manual metadata</x:v>
      </x:c>
      <x:c r="H98" s="80" t="str">
        <x:v>Try an unknown operation, out-of-scope UID, foreign warrant, excessive object/card/uptime/buffer/op delta, or direct state field</x:v>
      </x:c>
      <x:c r="I98" s="80" t="str">
        <x:v>engine.test.mjs: delta vocabulary, hard caps, illegal reference, tier tests; wave11.test.mjs: all compiler ops have cases</x:v>
      </x:c>
      <x:c r="J98" s="80" t="str">
        <x:v>Not Run</x:v>
      </x:c>
      <x:c r="K98" s="80" t="str">
        <x:v>Not Run</x:v>
      </x:c>
      <x:c r="L98" s="80"/>
      <x:c r="M98" s="80"/>
      <x:c r="N98" s="80" t="str">
        <x:v>None found statically.</x:v>
      </x:c>
      <x:c r="O98" s="80" t="str">
        <x:v>site/engine.js:310-358,6081-6230,686-692; site/play.js:2244-2271</x:v>
      </x:c>
    </x:row>
    <x:row r="99" ht="43.20000076293945" hidden="0" customHeight="1">
      <x:c r="A99" s="80" t="str">
        <x:v>GP-052</x:v>
      </x:c>
      <x:c r="B99" s="80" t="str">
        <x:v>Gameplay</x:v>
      </x:c>
      <x:c r="C99" s="80" t="str">
        <x:v>NPC seat</x:v>
      </x:c>
      <x:c r="D99" s="80" t="str">
        <x:v>As a npc seat, I can e1Npc.candidates proposes choices, attacks, blocks, orders, damage, discard, unlock, sovereign archive, tombstone cleanup, resource plays, abilities, and card plays; every candidate is simulated through E.apply and only accepted moves dispatch.</x:v>
      </x:c>
      <x:c r="E99" s="80" t="str">
        <x:v>NPC seat; any turn/choice/clash. E1Npc.candidates proposes choices, attacks, blocks, orders, damage, discard, unlock, sovereign archive, tombstone cleanup, resource plays, abilities, and card plays; every candidate is simulated through E.apply and only accepted moves dispatch.</x:v>
      </x:c>
      <x:c r="F99" s="80" t="str">
        <x:v>/play.html</x:v>
      </x:c>
      <x:c r="G99" s="80" t="str">
        <x:v>NPC seat; any turn/choice/clash</x:v>
      </x:c>
      <x:c r="H99" s="80" t="str">
        <x:v>E1Npc.candidates proposes choices, attacks, blocks, orders, damage, discard, unlock, sovereign archive, tombstone cleanup, resource plays, abilities, and card plays; every candidate is simulated through E.apply and only accepted moves dispatch.</x:v>
      </x:c>
      <x:c r="I99" s="80" t="str">
        <x:v>npc.test.mjs: accepted move/no stall, affinity pairings, accepted manual proposal</x:v>
      </x:c>
      <x:c r="J99" s="80" t="str">
        <x:v>Not Run</x:v>
      </x:c>
      <x:c r="K99" s="80" t="str">
        <x:v>Not Run</x:v>
      </x:c>
      <x:c r="L99" s="80"/>
      <x:c r="M99" s="80"/>
      <x:c r="N99" s="80" t="str">
        <x:v>NPC does not support remotePlay candidates; a card requiring that decision can leave the bot with no move unless the card’s surrounding rules avoid it (suspected coverage gap).</x:v>
      </x:c>
      <x:c r="O99" s="80" t="str">
        <x:v>site/npc.js:23-323; site/play.js:153-216</x:v>
      </x:c>
    </x:row>
    <x:row r="100" ht="32.400001525878906" hidden="0" customHeight="1">
      <x:c r="A100" s="80" t="str">
        <x:v>GP-053</x:v>
      </x:c>
      <x:c r="B100" s="80" t="str">
        <x:v>Gameplay</x:v>
      </x:c>
      <x:c r="C100" s="80" t="str">
        <x:v>Human versus NPC</x:v>
      </x:c>
      <x:c r="D100" s="80" t="str">
        <x:v>As a human versus npc, I can warrant-backed static/open proposal from the NPC is auto-accepted after a short delay, remains in the log, and free-form proposals still require human handling.</x:v>
      </x:c>
      <x:c r="E100" s="80" t="str">
        <x:v>Human versus NPC; NPC assisted effect pending. Warrant-backed static/open proposal from the NPC is auto-accepted after a short delay, remains in the log, and free-form proposals still require human handling.</x:v>
      </x:c>
      <x:c r="F100" s="80" t="str">
        <x:v>/play.html</x:v>
      </x:c>
      <x:c r="G100" s="80" t="str">
        <x:v>Human versus NPC; NPC assisted effect pending</x:v>
      </x:c>
      <x:c r="H100" s="80" t="str">
        <x:v>Warrant-backed static/open proposal from the NPC is auto-accepted after a short delay, remains in the log, and free-form proposals still require human handling.</x:v>
      </x:c>
      <x:c r="I100" s="80" t="str">
        <x:v>npc.test.mjs: accepted opponent proposal</x:v>
      </x:c>
      <x:c r="J100" s="80" t="str">
        <x:v>Not Run</x:v>
      </x:c>
      <x:c r="K100" s="80" t="str">
        <x:v>Not Run</x:v>
      </x:c>
      <x:c r="L100" s="80"/>
      <x:c r="M100" s="80"/>
      <x:c r="N100" s="80" t="str">
        <x:v>Delay is fixed at 550ms per action; long deterministic turns can feel stalled but are intentionally readable.</x:v>
      </x:c>
      <x:c r="O100" s="80" t="str">
        <x:v>site/play.js:172-216; site/npc.js:72-323</x:v>
      </x:c>
    </x:row>
    <x:row r="101" ht="21.600000381469727" hidden="0" customHeight="1">
      <x:c r="A101" s="80" t="str">
        <x:v>GP-054</x:v>
      </x:c>
      <x:c r="B101" s="80" t="str">
        <x:v>Gameplay</x:v>
      </x:c>
      <x:c r="C101" s="80" t="str">
        <x:v>Online player</x:v>
      </x:c>
      <x:c r="D101" s="80" t="str">
        <x:v>As an online player, I can open play from matchmaking/share URL.</x:v>
      </x:c>
      <x:c r="E101" s="80" t="str">
        <x:v>Page resumes only an existing match or explicit table request; an open/dealt-less table is directed back to matchmaking rather than showing an empty board.</x:v>
      </x:c>
      <x:c r="F101" s="80" t="str">
        <x:v>/play.html</x:v>
      </x:c>
      <x:c r="G101" s="80" t="str">
        <x:v>Online player; matchmaking supplied table</x:v>
      </x:c>
      <x:c r="H101" s="80" t="str">
        <x:v>Open play from matchmaking/share URL</x:v>
      </x:c>
      <x:c r="I101" s="80" t="str">
        <x:v>client.test.mjs: host/share/lobby transition tests; net.test.mjs: create/join/resume</x:v>
      </x:c>
      <x:c r="J101" s="80" t="str">
        <x:v>Not Run</x:v>
      </x:c>
      <x:c r="K101" s="80" t="str">
        <x:v>Not Run</x:v>
      </x:c>
      <x:c r="L101" s="80"/>
      <x:c r="M101" s="80"/>
      <x:c r="N101" s="80" t="str">
        <x:v>None found statically.</x:v>
      </x:c>
      <x:c r="O101" s="80" t="str">
        <x:v>site/play.js:3366-3370,3510-3587,4018-4079; site/play.html:828-853</x:v>
      </x:c>
    </x:row>
    <x:row r="102" ht="21.600000381469727" hidden="0" customHeight="1">
      <x:c r="A102" s="80" t="str">
        <x:v>GP-055</x:v>
      </x:c>
      <x:c r="B102" s="80" t="str">
        <x:v>Gameplay</x:v>
      </x:c>
      <x:c r="C102" s="80" t="str">
        <x:v>Remote seat</x:v>
      </x:c>
      <x:c r="D102" s="80" t="str">
        <x:v>As a remote seat, I can click an action.</x:v>
      </x:c>
      <x:c r="E102" s="80" t="str">
        <x:v>Client sends one action to the referee, sets awaitingSeq, suppresses duplicate clicks until FRAME/REJECT, and never applies remote state locally.</x:v>
      </x:c>
      <x:c r="F102" s="80" t="str">
        <x:v>/play.html</x:v>
      </x:c>
      <x:c r="G102" s="80" t="str">
        <x:v>Remote seat; connected</x:v>
      </x:c>
      <x:c r="H102" s="80" t="str">
        <x:v>Click an action</x:v>
      </x:c>
      <x:c r="I102" s="80" t="str">
        <x:v>None found statically.</x:v>
      </x:c>
      <x:c r="J102" s="80" t="str">
        <x:v>Not Run</x:v>
      </x:c>
      <x:c r="K102" s="80" t="str">
        <x:v>Not Run</x:v>
      </x:c>
      <x:c r="L102" s="80"/>
      <x:c r="M102" s="80"/>
      <x:c r="N102" s="80"/>
      <x:c r="O102" s="80" t="str">
        <x:v>site/play.js:95-123,3592-3613; net.test.mjs: illegal action, duplicate ACT, same-seq race</x:v>
      </x:c>
    </x:row>
    <x:row r="103" ht="43.20000076293945" hidden="0" customHeight="1">
      <x:c r="A103" s="80" t="str">
        <x:v>GP-056</x:v>
      </x:c>
      <x:c r="B103" s="80" t="str">
        <x:v>Gameplay</x:v>
      </x:c>
      <x:c r="C103" s="80" t="str">
        <x:v>Remote seat</x:v>
      </x:c>
      <x:c r="D103" s="80" t="str">
        <x:v>As a remote seat, I can show referee code/message and fresh view; clear pending sequence/selection; render connecting/reconnecting/stale/opponent-away status; Force resync requests the current state.</x:v>
      </x:c>
      <x:c r="E103" s="80" t="str">
        <x:v>Remote seat; action rejected or connection stale. Show referee code/message and fresh view; clear pending sequence/selection; render connecting/reconnecting/stale/opponent-away status; Force resync requests the current state.</x:v>
      </x:c>
      <x:c r="F103" s="80" t="str">
        <x:v>/play.html</x:v>
      </x:c>
      <x:c r="G103" s="80" t="str">
        <x:v>Remote seat; action rejected or connection stale</x:v>
      </x:c>
      <x:c r="H103" s="80" t="str">
        <x:v>Show referee code/message and fresh view; clear pending sequence/selection; render connecting/reconnecting/stale/opponent-away status; Force resync requests the current state.</x:v>
      </x:c>
      <x:c r="I103" s="80" t="str">
        <x:v>net.test.mjs: reconnect/resume/illegal action/referee restart; client.test.mjs: identity/resume</x:v>
      </x:c>
      <x:c r="J103" s="80" t="str">
        <x:v>Not Run</x:v>
      </x:c>
      <x:c r="K103" s="80" t="str">
        <x:v>Not Run</x:v>
      </x:c>
      <x:c r="L103" s="80"/>
      <x:c r="M103" s="80"/>
      <x:c r="N103" s="80" t="str">
        <x:v>None found statically.</x:v>
      </x:c>
      <x:c r="O103" s="80" t="str">
        <x:v>site/play.js:3448-3464,3503-3507,3592-3657,4047-4050; site/play.html:951-960</x:v>
      </x:c>
    </x:row>
    <x:row r="104" ht="32.400001525878906" hidden="0" customHeight="1">
      <x:c r="A104" s="80" t="str">
        <x:v>GP-057</x:v>
      </x:c>
      <x:c r="B104" s="80" t="str">
        <x:v>Gameplay</x:v>
      </x:c>
      <x:c r="C104" s="80" t="str">
        <x:v>Spectator</x:v>
      </x:c>
      <x:c r="D104" s="80" t="str">
        <x:v>As a spectator, I can see public state, player names/counts, events and endgame but no hidden shells beyond counts and no controls that can mutate the match; attempts to act produce “you cannot act.”.</x:v>
      </x:c>
      <x:c r="E104" s="80" t="str">
        <x:v>Spectator; valid public table. See public state, player names/counts, events and endgame but no hidden shells beyond counts and no controls that can mutate the match; attempts to act produce “you cannot act.”</x:v>
      </x:c>
      <x:c r="F104" s="80" t="str">
        <x:v>/play.html</x:v>
      </x:c>
      <x:c r="G104" s="80" t="str">
        <x:v>Spectator; valid public table</x:v>
      </x:c>
      <x:c r="H104" s="80" t="str">
        <x:v>See public state, player names/counts, events and endgame but no hidden shells beyond counts and no controls that can mutate the match; attempts to act produce “you cannot act.”</x:v>
      </x:c>
      <x:c r="I104" s="80" t="str">
        <x:v>net.test.mjs: spectator view and no action; client.test.mjs: spectator verdict</x:v>
      </x:c>
      <x:c r="J104" s="80" t="str">
        <x:v>Not Run</x:v>
      </x:c>
      <x:c r="K104" s="80" t="str">
        <x:v>Not Run</x:v>
      </x:c>
      <x:c r="L104" s="80"/>
      <x:c r="M104" s="80"/>
      <x:c r="N104" s="80" t="str">
        <x:v>None found statically.</x:v>
      </x:c>
      <x:c r="O104" s="80" t="str">
        <x:v>site/play.js:100-107,3510-3575,3712-3762; site/engine.js:6722-6871</x:v>
      </x:c>
    </x:row>
    <x:row r="105" ht="32.400001525878906" hidden="0" customHeight="1">
      <x:c r="A105" s="80" t="str">
        <x:v>GP-058</x:v>
      </x:c>
      <x:c r="B105" s="80" t="str">
        <x:v>Gameplay</x:v>
      </x:c>
      <x:c r="C105" s="80" t="str">
        <x:v>Remote player</x:v>
      </x:c>
      <x:c r="D105" s="80" t="str">
        <x:v>As a remote player, I can see a blocking notice when my catalog differs from the referee's.</x:v>
      </x:c>
      <x:c r="E105" s="80" t="str">
        <x:v>Remote player; catalog differs from referee. On STATE, compare local catalog digest with referee digest; show a blocking mismatch notice telling the player to reload a matching build before playing.</x:v>
      </x:c>
      <x:c r="F105" s="80" t="str">
        <x:v>/play.html</x:v>
      </x:c>
      <x:c r="G105" s="80" t="str">
        <x:v>Remote player; catalog differs from referee</x:v>
      </x:c>
      <x:c r="H105" s="80" t="str">
        <x:v>On STATE, compare local catalog digest with referee digest; show a blocking mismatch notice telling the player to reload a matching build before playing.</x:v>
      </x:c>
      <x:c r="I105" s="80" t="str">
        <x:v>net.test.mjs: catalog/referee state tests</x:v>
      </x:c>
      <x:c r="J105" s="80" t="str">
        <x:v>Not Run</x:v>
      </x:c>
      <x:c r="K105" s="80" t="str">
        <x:v>Not Run</x:v>
      </x:c>
      <x:c r="L105" s="80"/>
      <x:c r="M105" s="80"/>
      <x:c r="N105" s="80" t="str">
        <x:v>The notice says “before playing” but there is no dedicated disabled action gate in this file; safety must be confirmed in net.js/referee.</x:v>
      </x:c>
      <x:c r="O105" s="80" t="str">
        <x:v>site/play.js:3490-3507; site/engine.js:619-632,701-718</x:v>
      </x:c>
    </x:row>
    <x:row r="106" ht="32.400001525878906" hidden="0" customHeight="1">
      <x:c r="A106" s="80" t="str">
        <x:v>GP-059</x:v>
      </x:c>
      <x:c r="B106" s="80" t="str">
        <x:v>Gameplay</x:v>
      </x:c>
      <x:c r="C106" s="80" t="str">
        <x:v>Remote player</x:v>
      </x:c>
      <x:c r="D106" s="80" t="str">
        <x:v>As a remote player, I can adopt a finished STATE carrying result bytes, transcript hash, verification, and public hash; show the endgame again and retain ability to sign/publish.</x:v>
      </x:c>
      <x:c r="E106" s="80" t="str">
        <x:v>Remote player; reload/reconnect after match over. Adopt a finished STATE carrying result bytes, transcript hash, verification, and public hash; show the endgame again and retain ability to sign/publish.</x:v>
      </x:c>
      <x:c r="F106" s="80" t="str">
        <x:v>/play.html</x:v>
      </x:c>
      <x:c r="G106" s="80" t="str">
        <x:v>Remote player; reload/reconnect after match over</x:v>
      </x:c>
      <x:c r="H106" s="80" t="str">
        <x:v>Adopt a finished STATE carrying result bytes, transcript hash, verification, and public hash; show the endgame again and retain ability to sign/publish.</x:v>
      </x:c>
      <x:c r="I106" s="80" t="str">
        <x:v>None found statically.</x:v>
      </x:c>
      <x:c r="J106" s="80" t="str">
        <x:v>Not Run</x:v>
      </x:c>
      <x:c r="K106" s="80" t="str">
        <x:v>Not Run</x:v>
      </x:c>
      <x:c r="L106" s="80"/>
      <x:c r="M106" s="80"/>
      <x:c r="N106" s="80"/>
      <x:c r="O106" s="80" t="str">
        <x:v>site/play.js:3528-3587,3786-3819; net.test.mjs: “finished match can still be signed after a reload…”; client.test.mjs: finished state publish</x:v>
      </x:c>
    </x:row>
    <x:row r="107" ht="32.400001525878906" hidden="0" customHeight="1">
      <x:c r="A107" s="80" t="str">
        <x:v>GP-060</x:v>
      </x:c>
      <x:c r="B107" s="80" t="str">
        <x:v>Gameplay</x:v>
      </x:c>
      <x:c r="C107" s="80" t="str">
        <x:v>Remote seat</x:v>
      </x:c>
      <x:c r="D107" s="80" t="str">
        <x:v>As a remote seat, I can start announcement is signed/published once per match, with byte-identical referee data and agreed stake; relay/sign failure reports honestly and does not stop play.</x:v>
      </x:c>
      <x:c r="E107" s="80" t="str">
        <x:v>Remote seat; match is dealt. Start announcement is signed/published once per match, with byte-identical referee data and agreed stake; relay/sign failure reports honestly and does not stop play.</x:v>
      </x:c>
      <x:c r="F107" s="80" t="str">
        <x:v>/play.html</x:v>
      </x:c>
      <x:c r="G107" s="80" t="str">
        <x:v>Remote seat; match is dealt</x:v>
      </x:c>
      <x:c r="H107" s="80" t="str">
        <x:v>Start announcement is signed/published once per match, with byte-identical referee data and agreed stake; relay/sign failure reports honestly and does not stop play.</x:v>
      </x:c>
      <x:c r="I107" s="80" t="str">
        <x:v>client.test.mjs: signed moments/announcement; net.test.mjs: Nostr event persistence/agreement/stake</x:v>
      </x:c>
      <x:c r="J107" s="80" t="str">
        <x:v>Not Run</x:v>
      </x:c>
      <x:c r="K107" s="80" t="str">
        <x:v>Not Run</x:v>
      </x:c>
      <x:c r="L107" s="80"/>
      <x:c r="M107" s="80"/>
      <x:c r="N107" s="80" t="str">
        <x:v>Announcement history is localStorage-only; private mode can cause repeat prompts after reload (suspected logistics issue).</x:v>
      </x:c>
      <x:c r="O107" s="80" t="str">
        <x:v>site/play.js:3407-3434,3665-3701; site/play.html:835-839</x:v>
      </x:c>
    </x:row>
    <x:row r="108" ht="21.600000381469727" hidden="0" customHeight="1">
      <x:c r="A108" s="80" t="str">
        <x:v>GP-061</x:v>
      </x:c>
      <x:c r="B108" s="80" t="str">
        <x:v>Gameplay</x:v>
      </x:c>
      <x:c r="C108" s="80" t="str">
        <x:v>Remote player</x:v>
      </x:c>
      <x:c r="D108" s="80" t="str">
        <x:v>As a remote player, I can use Publish accept/result buttons or endgame Sign and publish.</x:v>
      </x:c>
      <x:c r="E108" s="80" t="str">
        <x:v>Exact signed bytes go to Nostr/referee; agreement status renders none/pending/confirmed/disputed.</x:v>
      </x:c>
      <x:c r="F108" s="80" t="str">
        <x:v>/play.html</x:v>
      </x:c>
      <x:c r="G108" s="80" t="str">
        <x:v>Remote player; invite/accept/result publication</x:v>
      </x:c>
      <x:c r="H108" s="80" t="str">
        <x:v>Use Publish accept/result buttons or endgame Sign and publish</x:v>
      </x:c>
      <x:c r="I108" s="80" t="str">
        <x:v>client.test.mjs: signed payload tests; net.test.mjs: Nostr/agreement/result tests</x:v>
      </x:c>
      <x:c r="J108" s="80" t="str">
        <x:v>Not Run</x:v>
      </x:c>
      <x:c r="K108" s="80" t="str">
        <x:v>Not Run</x:v>
      </x:c>
      <x:c r="L108" s="80"/>
      <x:c r="M108" s="80"/>
      <x:c r="N108" s="80" t="str">
        <x:v>None found statically.</x:v>
      </x:c>
      <x:c r="O108" s="80" t="str">
        <x:v>site/play.js:3615-3633,3943-3985; site/play.html:951-960,1025-1030</x:v>
      </x:c>
    </x:row>
    <x:row r="109" ht="21.600000381469727" hidden="0" customHeight="1">
      <x:c r="A109" s="80" t="str">
        <x:v>GP-062</x:v>
      </x:c>
      <x:c r="B109" s="80" t="str">
        <x:v>Gameplay</x:v>
      </x:c>
      <x:c r="C109" s="80" t="str">
        <x:v>Player</x:v>
      </x:c>
      <x:c r="D109" s="80" t="str">
        <x:v>As a player, I can open Match controls, confirm Rugpull, and dispatch CONCEDE; the other seat wins immediately.</x:v>
      </x:c>
      <x:c r="E109" s="80" t="str">
        <x:v>Spectators and already-over games cannot concede.</x:v>
      </x:c>
      <x:c r="F109" s="80" t="str">
        <x:v>/play.html</x:v>
      </x:c>
      <x:c r="G109" s="80" t="str">
        <x:v>Player; game ends by concession</x:v>
      </x:c>
      <x:c r="H109" s="80" t="str">
        <x:v>Open Match controls, confirm Rugpull, and dispatch CONCEDE; the other seat wins immediately</x:v>
      </x:c>
      <x:c r="I109" s="80" t="str">
        <x:v>net.test.mjs: “conceding ends the match for both seats…”; engine result tests</x:v>
      </x:c>
      <x:c r="J109" s="80" t="str">
        <x:v>Not Run</x:v>
      </x:c>
      <x:c r="K109" s="80" t="str">
        <x:v>Not Run</x:v>
      </x:c>
      <x:c r="L109" s="80"/>
      <x:c r="M109" s="80"/>
      <x:c r="N109" s="80" t="str">
        <x:v>“Rugpull” is thematic jargon; tooltip explains it, but first-time users may not connect it to concession.</x:v>
      </x:c>
      <x:c r="O109" s="80" t="str">
        <x:v>site/play.html:976-980; site/play.js:4321-4336; site/engine.js:5265-5306,1893-1924</x:v>
      </x:c>
    </x:row>
    <x:row r="110" ht="32.400001525878906" hidden="0" customHeight="1">
      <x:c r="A110" s="80" t="str">
        <x:v>GP-063</x:v>
      </x:c>
      <x:c r="B110" s="80" t="str">
        <x:v>Gameplay</x:v>
      </x:c>
      <x:c r="C110" s="80" t="str">
        <x:v>Player</x:v>
      </x:c>
      <x:c r="D110" s="80" t="str">
        <x:v>As a player, I can endgame dialog announces YOU WON/LOST, DRAW, or spectator winner, explains reason, shows turns/actions/stake, and focuses the first available action.</x:v>
      </x:c>
      <x:c r="E110" s="80" t="str">
        <x:v>Player; match over by Uptime/decked/draw/concede. Endgame dialog announces YOU WON/LOST, DRAW, or spectator winner, explains reason, shows turns/actions/stake, and focuses the first available action.</x:v>
      </x:c>
      <x:c r="F110" s="80" t="str">
        <x:v>/play.html</x:v>
      </x:c>
      <x:c r="G110" s="80" t="str">
        <x:v>Player; match over by Uptime/decked/draw/concede</x:v>
      </x:c>
      <x:c r="H110" s="80" t="str">
        <x:v>Endgame dialog announces YOU WON/LOST, DRAW, or spectator winner, explains reason, shows turns/actions/stake, and focuses the first available action.</x:v>
      </x:c>
      <x:c r="I110" s="80" t="str">
        <x:v>engine.test.mjs: lethal/draw/decked; client.test.mjs: endgame DOM</x:v>
      </x:c>
      <x:c r="J110" s="80" t="str">
        <x:v>Not Run</x:v>
      </x:c>
      <x:c r="K110" s="80" t="str">
        <x:v>Not Run</x:v>
      </x:c>
      <x:c r="L110" s="80"/>
      <x:c r="M110" s="80"/>
      <x:c r="N110" s="80" t="str">
        <x:v>openEndgame falls back to unmodal hidden=false on old/test DOM, so focus trapping is browser-dependent (known compatibility tradeoff).</x:v>
      </x:c>
      <x:c r="O110" s="80" t="str">
        <x:v>site/play.js:3703-3777; site/play.html:998-1033</x:v>
      </x:c>
    </x:row>
    <x:row r="111" ht="21.600000381469727" hidden="0" customHeight="1">
      <x:c r="A111" s="80" t="str">
        <x:v>GP-064</x:v>
      </x:c>
      <x:c r="B111" s="80" t="str">
        <x:v>Gameplay</x:v>
      </x:c>
      <x:c r="C111" s="80" t="str">
        <x:v>Remote player</x:v>
      </x:c>
      <x:c r="D111" s="80" t="str">
        <x:v>As a remote player, I can read two verification statements: referee replay and browser replay of the exact transcript.</x:v>
      </x:c>
      <x:c r="E111" s="80" t="str">
        <x:v>Any disagreement is styled as untrusted and includes divergence index; public hash is shown.</x:v>
      </x:c>
      <x:c r="F111" s="80" t="str">
        <x:v>/play.html</x:v>
      </x:c>
      <x:c r="G111" s="80" t="str">
        <x:v>Remote player; endgame received</x:v>
      </x:c>
      <x:c r="H111" s="80" t="str">
        <x:v>Read two verification statements: referee replay and browser replay of the exact transcript</x:v>
      </x:c>
      <x:c r="I111" s="80" t="str">
        <x:v>engine.test.mjs: verify/replay/tamper; client.test.mjs: endgame verification</x:v>
      </x:c>
      <x:c r="J111" s="80" t="str">
        <x:v>Not Run</x:v>
      </x:c>
      <x:c r="K111" s="80" t="str">
        <x:v>Not Run</x:v>
      </x:c>
      <x:c r="L111" s="80"/>
      <x:c r="M111" s="80"/>
      <x:c r="N111" s="80" t="str">
        <x:v>None found statically.</x:v>
      </x:c>
      <x:c r="O111" s="80" t="str">
        <x:v>site/play.js:3786-3819; site/engine.js:6632-6672</x:v>
      </x:c>
    </x:row>
    <x:row r="112" ht="32.400001525878906" hidden="0" customHeight="1">
      <x:c r="A112" s="80" t="str">
        <x:v>GP-065</x:v>
      </x:c>
      <x:c r="B112" s="80" t="str">
        <x:v>Gameplay</x:v>
      </x:c>
      <x:c r="C112" s="80" t="str">
        <x:v>Loser in staked match</x:v>
      </x:c>
      <x:c r="D112" s="80" t="str">
        <x:v>As a loser in staked match, I can choose Pay; resolve winner profile/lud16, request invoice, then open wallet, use WebLN, copy invoice, or scan QR.</x:v>
      </x:c>
      <x:c r="E112" s="80" t="str">
        <x:v>A failure re-enables Pay and states that the app never escrows/moves funds. Winner sees informational no-escrow text.</x:v>
      </x:c>
      <x:c r="F112" s="80" t="str">
        <x:v>/play.html</x:v>
      </x:c>
      <x:c r="G112" s="80" t="str">
        <x:v>Loser in staked match</x:v>
      </x:c>
      <x:c r="H112" s="80" t="str">
        <x:v>Choose Pay; resolve winner profile/lud16, request invoice, then open wallet, use WebLN, copy invoice, or scan QR</x:v>
      </x:c>
      <x:c r="I112" s="80" t="str">
        <x:v>nutft.test.mjs: payment/funding safety; net.test.mjs: staked result/settlement payload</x:v>
      </x:c>
      <x:c r="J112" s="80" t="str">
        <x:v>Not Run</x:v>
      </x:c>
      <x:c r="K112" s="80" t="str">
        <x:v>Not Run</x:v>
      </x:c>
      <x:c r="L112" s="80"/>
      <x:c r="M112" s="80"/>
      <x:c r="N112" s="80" t="str">
        <x:v>Pay is unenforceable by design; if winner has no lud16 the loser gets a clear dead end but no alternate contact flow.</x:v>
      </x:c>
      <x:c r="O112" s="80" t="str">
        <x:v>site/play.js:3821-3934; site/play.html:1019-1028</x:v>
      </x:c>
    </x:row>
    <x:row r="113" ht="21.600000381469727" hidden="0" customHeight="1">
      <x:c r="A113" s="80" t="str">
        <x:v>GP-066</x:v>
      </x:c>
      <x:c r="B113" s="80" t="str">
        <x:v>Gameplay</x:v>
      </x:c>
      <x:c r="C113" s="80" t="str">
        <x:v>Player</x:v>
      </x:c>
      <x:c r="D113" s="80" t="str">
        <x:v>As a player, I can sign/publish result, Find another opponent, or Back to lobby.</x:v>
      </x:c>
      <x:c r="E113" s="80" t="str">
        <x:v>Rematch closes result, leaves old table, clears remote session, and navigates matchmaking; Close dismisses only the dialog.</x:v>
      </x:c>
      <x:c r="F113" s="80" t="str">
        <x:v>/play.html</x:v>
      </x:c>
      <x:c r="G113" s="80" t="str">
        <x:v>Player; endgame controls</x:v>
      </x:c>
      <x:c r="H113" s="80" t="str">
        <x:v>Sign/publish result, Find another opponent, or Back to lobby</x:v>
      </x:c>
      <x:c r="I113" s="80" t="str">
        <x:v>client.test.mjs: lobby/table transitions; net.test.mjs: leave/rematch/concede</x:v>
      </x:c>
      <x:c r="J113" s="80" t="str">
        <x:v>Not Run</x:v>
      </x:c>
      <x:c r="K113" s="80" t="str">
        <x:v>Not Run</x:v>
      </x:c>
      <x:c r="L113" s="80"/>
      <x:c r="M113" s="80"/>
      <x:c r="N113" s="80" t="str">
        <x:v>Local hotseat has no “new local game” button in endgame; user must return to setup/navigation (suspected UX gap).</x:v>
      </x:c>
      <x:c r="O113" s="80" t="str">
        <x:v>site/play.js:3936-4044; site/play.html:1025-1029</x:v>
      </x:c>
    </x:row>
    <x:row r="114" ht="32.400001525878906" hidden="0" customHeight="1">
      <x:c r="A114" s="80" t="str">
        <x:v>GP-067</x:v>
      </x:c>
      <x:c r="B114" s="80" t="str">
        <x:v>Gameplay</x:v>
      </x:c>
      <x:c r="C114" s="80" t="str">
        <x:v>Remote player</x:v>
      </x:c>
      <x:c r="D114" s="80" t="str">
        <x:v>As a remote player, I can leave table sends leave, clears seat/UI, and returns setup/lobby; Ctrl+Alt+R requests forced resume outside text fields.</x:v>
      </x:c>
      <x:c r="E114" s="80" t="str">
        <x:v>Referee preserves transcript/seat rules as tested by transport.</x:v>
      </x:c>
      <x:c r="F114" s="80" t="str">
        <x:v>/play.html</x:v>
      </x:c>
      <x:c r="G114" s="80" t="str">
        <x:v>Remote player; leave/resume</x:v>
      </x:c>
      <x:c r="H114" s="80" t="str">
        <x:v>Leave table sends leave, clears seat/UI, and returns setup/lobby; Ctrl+Alt+R requests forced resume outside text fields</x:v>
      </x:c>
      <x:c r="I114" s="80" t="str">
        <x:v>Hotseat and online session semantics differ intentionally.</x:v>
      </x:c>
      <x:c r="J114" s="80" t="str">
        <x:v>Not Run</x:v>
      </x:c>
      <x:c r="K114" s="80" t="str">
        <x:v>Not Run</x:v>
      </x:c>
      <x:c r="L114" s="80"/>
      <x:c r="M114" s="80"/>
      <x:c r="N114" s="80"/>
      <x:c r="O114" s="80" t="str">
        <x:v>site/play.js:4011-4079; net.test.mjs: LEAVE, RESUME, referee restart</x:v>
      </x:c>
    </x:row>
    <x:row r="115" ht="32.400001525878906" hidden="0" customHeight="1">
      <x:c r="A115" s="80" t="str">
        <x:v>GP-068</x:v>
      </x:c>
      <x:c r="B115" s="80" t="str">
        <x:v>Gameplay</x:v>
      </x:c>
      <x:c r="C115" s="80" t="str">
        <x:v>Online user</x:v>
      </x:c>
      <x:c r="D115" s="80" t="str">
        <x:v>As an online user, I can receive plain messages for no table, full/over match, failed deck build, rate limit, superseded seat, missing/failed NIP-07, identity/stake mismatch, or non-table page.</x:v>
      </x:c>
      <x:c r="E115" s="80" t="str">
        <x:v>Online user; malformed/unavailable service. Receive plain messages for no table, full/over match, failed deck build, rate limit, superseded seat, missing/failed NIP-07, identity/stake mismatch, or non-table page.</x:v>
      </x:c>
      <x:c r="F115" s="80" t="str">
        <x:v>/play.html</x:v>
      </x:c>
      <x:c r="G115" s="80" t="str">
        <x:v>Online user; malformed/unavailable service</x:v>
      </x:c>
      <x:c r="H115" s="80" t="str">
        <x:v>Receive plain messages for no table, full/over match, failed deck build, rate limit, superseded seat, missing/failed NIP-07, identity/stake mismatch, or non-table page.</x:v>
      </x:c>
      <x:c r="I115" s="80" t="str">
        <x:v>client.test.mjs and net.test.mjs: corresponding error/security tests</x:v>
      </x:c>
      <x:c r="J115" s="80" t="str">
        <x:v>Not Run</x:v>
      </x:c>
      <x:c r="K115" s="80" t="str">
        <x:v>Not Run</x:v>
      </x:c>
      <x:c r="L115" s="80"/>
      <x:c r="M115" s="80"/>
      <x:c r="N115" s="80" t="str">
        <x:v>None found statically.</x:v>
      </x:c>
      <x:c r="O115" s="80" t="str">
        <x:v>site/play.js:3639-3657; site/play.html:852</x:v>
      </x:c>
    </x:row>
    <x:row r="116" ht="43.20000076293945" hidden="0" customHeight="1">
      <x:c r="A116" s="80" t="str">
        <x:v>GP-069</x:v>
      </x:c>
      <x:c r="B116" s="80" t="str">
        <x:v>Gameplay</x:v>
      </x:c>
      <x:c r="C116" s="80" t="str">
        <x:v>Remote/public observer</x:v>
      </x:c>
      <x:c r="D116" s="80" t="str">
        <x:v>As a remote player or observer, I can rely on identity, URL, event, and message validation before match state changes.</x:v>
      </x:c>
      <x:c r="E116" s="80" t="str">
        <x:v>Remote/public observer; untrusted identity/URL/event. Only verified NIP-07/NIP-42 identities claim seats; malformed invites/challenges, DNS-rebinding/foreign origins, oversized/bad-version messages, and unauthenticated actions are rejected without mutating the match.</x:v>
      </x:c>
      <x:c r="F116" s="80" t="str">
        <x:v>/play.html</x:v>
      </x:c>
      <x:c r="G116" s="80" t="str">
        <x:v>Remote/public observer; untrusted identity/URL/event</x:v>
      </x:c>
      <x:c r="H116" s="80" t="str">
        <x:v>Only verified NIP-07/NIP-42 identities claim seats; malformed invites/challenges, DNS-rebinding/foreign origins, oversized/bad-version messages, and unauthenticated actions are rejected without mutating the match.</x:v>
      </x:c>
      <x:c r="I116" s="80" t="str">
        <x:v>net.test.mjs: identity, origin, rate-limit, malformed message, spectator, wallet-attack tests</x:v>
      </x:c>
      <x:c r="J116" s="80" t="str">
        <x:v>Not Run</x:v>
      </x:c>
      <x:c r="K116" s="80" t="str">
        <x:v>Not Run</x:v>
      </x:c>
      <x:c r="L116" s="80"/>
      <x:c r="M116" s="80"/>
      <x:c r="N116" s="80" t="str">
        <x:v>Network enforcement lives mainly outside the delegated files (net.js/server); this story is included as the client-visible contract.</x:v>
      </x:c>
      <x:c r="O116" s="80" t="str">
        <x:v>site/play.js:839-856,3987-4008; net.test.mjs:847-873,1015-1127,1208-1385; site/engine.js:236-247,5308-5371</x:v>
      </x:c>
    </x:row>
    <x:row r="117" ht="32.400001525878906" hidden="0" customHeight="1">
      <x:c r="A117" s="80" t="str">
        <x:v>GP-070</x:v>
      </x:c>
      <x:c r="B117" s="80" t="str">
        <x:v>Gameplay</x:v>
      </x:c>
      <x:c r="C117" s="80" t="str">
        <x:v>Player</x:v>
      </x:c>
      <x:c r="D117" s="80" t="str">
        <x:v>As a player, I can card dialog displays catalog metadata, rules/help/flavor, face, and Blossom content hash/mirror links; card text is data-only and compiled into declarative ops.</x:v>
      </x:c>
      <x:c r="E117" s="80" t="str">
        <x:v>Player; inspect card. Card dialog displays catalog metadata, rules/help/flavor, face, and Blossom content hash/mirror links; card text is data-only and compiled into declarative ops.</x:v>
      </x:c>
      <x:c r="F117" s="80" t="str">
        <x:v>/play.html</x:v>
      </x:c>
      <x:c r="G117" s="80" t="str">
        <x:v>Player; inspect card</x:v>
      </x:c>
      <x:c r="H117" s="80" t="str">
        <x:v>Card dialog displays catalog metadata, rules/help/flavor, face, and Blossom content hash/mirror links; card text is data-only and compiled into declarative ops.</x:v>
      </x:c>
      <x:c r="I117" s="80" t="str">
        <x:v>precons.test.mjs; wave11.test.mjs; nutft.test.mjs: catalog URI/CardBinding</x:v>
      </x:c>
      <x:c r="J117" s="80" t="str">
        <x:v>Not Run</x:v>
      </x:c>
      <x:c r="K117" s="80" t="str">
        <x:v>Not Run</x:v>
      </x:c>
      <x:c r="L117" s="80"/>
      <x:c r="M117" s="80"/>
      <x:c r="N117" s="80" t="str">
        <x:v>Blossom mirror links use target=_blank with noopener; no arbitrary metadata execution found.</x:v>
      </x:c>
      <x:c r="O117" s="80" t="str">
        <x:v>site/play-data.js:1-4; site/play.js:1052-1152; site/engine.js:249-632</x:v>
      </x:c>
    </x:row>
    <x:row r="118" ht="43.20000076293945" hidden="0" customHeight="1">
      <x:c r="A118" s="80" t="str">
        <x:v>GP-071</x:v>
      </x:c>
      <x:c r="B118" s="80" t="str">
        <x:v>Gameplay</x:v>
      </x:c>
      <x:c r="C118" s="80" t="str">
        <x:v>NutFT wallet user</x:v>
      </x:c>
      <x:c r="D118" s="80" t="str">
        <x:v>As a nutft wallet user, I can wallet ownership survives reload, corrupt storage is preserved rather than overwritten, one DLEQ/P2BK proof is issued per card, CardBinding/collection ID remains stable, and payment/claim paths do not mint twice.</x:v>
      </x:c>
      <x:c r="E118" s="80" t="str">
        <x:v>NutFT wallet user; persisted wallet/reload. Wallet ownership survives reload, corrupt storage is preserved rather than overwritten, one DLEQ/P2BK proof is issued per card, CardBinding/collection ID remains stable, and payment/claim paths do not mint twice.</x:v>
      </x:c>
      <x:c r="F118" s="80" t="str">
        <x:v>/play.html</x:v>
      </x:c>
      <x:c r="G118" s="80" t="str">
        <x:v>NutFT wallet user; persisted wallet/reload</x:v>
      </x:c>
      <x:c r="H118" s="80" t="str">
        <x:v>Wallet ownership survives reload, corrupt storage is preserved rather than overwritten, one DLEQ/P2BK proof is issued per card, CardBinding/collection ID remains stable, and payment/claim paths do not mint twice.</x:v>
      </x:c>
      <x:c r="I118" s="80" t="str">
        <x:v>nutft.test.mjs: reload/corrupt storage, DLEQ/P2BK, invoice/claim/sweep, catalog URI tests</x:v>
      </x:c>
      <x:c r="J118" s="80" t="str">
        <x:v>Not Run</x:v>
      </x:c>
      <x:c r="K118" s="80" t="str">
        <x:v>Not Run</x:v>
      </x:c>
      <x:c r="L118" s="80"/>
      <x:c r="M118" s="80"/>
      <x:c r="N118" s="80" t="str">
        <x:v>The gameplay audit only sees the wallet adapter call; full mint/payment behavior is covered by the NutFT suite, not play.js.</x:v>
      </x:c>
      <x:c r="O118" s="80" t="str">
        <x:v>site/play.html:1106-1109; nutft-wallet.js (loaded by page); site/play.js:4088-4105</x:v>
      </x:c>
    </x:row>
    <x:row r="119" ht="43.20000076293945" hidden="0" customHeight="1">
      <x:c r="A119" s="80" t="str">
        <x:v>GP-072</x:v>
      </x:c>
      <x:c r="B119" s="80" t="str">
        <x:v>Gameplay</x:v>
      </x:c>
      <x:c r="C119" s="80" t="str">
        <x:v>Returning local player</x:v>
      </x:c>
      <x:c r="D119" s="80" t="str">
        <x:v>As a returning local player, I can saved Stacks, coach completion, and announced-match suppression survive where localStorage works; a cold local hotseat is not auto-resumed, while a remote match is resumed only when NET.start finds a held match or explicit table URL.</x:v>
      </x:c>
      <x:c r="E119" s="80" t="str">
        <x:v>Returning local player; browser reload. Saved Stacks, coach completion, and announced-match suppression survive where localStorage works; a cold local hotseat is not auto-resumed, while a remote match is resumed only when NET.start finds a held match or explicit table URL.</x:v>
      </x:c>
      <x:c r="F119" s="80" t="str">
        <x:v>/play.html</x:v>
      </x:c>
      <x:c r="G119" s="80" t="str">
        <x:v>Returning local player; browser reload</x:v>
      </x:c>
      <x:c r="H119" s="80" t="str">
        <x:v>Saved Stacks, coach completion, and announced-match suppression survive where localStorage works; a cold local hotseat is not auto-resumed, while a remote match is resumed only when NET.start finds a held match or explicit table URL.</x:v>
      </x:c>
      <x:c r="I119" s="80" t="str">
        <x:v>client.test.mjs: saved match reload, legacy seat resume, announced/result tests; napplet.test.mjs storage</x:v>
      </x:c>
      <x:c r="J119" s="80" t="str">
        <x:v>Not Run</x:v>
      </x:c>
      <x:c r="K119" s="80" t="str">
        <x:v>Not Run</x:v>
      </x:c>
      <x:c r="L119" s="80"/>
      <x:c r="M119" s="80"/>
      <x:c r="N119" s="80" t="str">
        <x:v>No local hotseat state/transcript persistence exists; this should be explicit in product copy if “reload” is expected to resume every table (suspected logistics gap).</x:v>
      </x:c>
      <x:c r="O119" s="80" t="str">
        <x:v>site/play.js:2091-2205,3372-3434,4073-4079; site/napplet.js:34-100</x:v>
      </x:c>
    </x:row>
    <x:row r="120" ht="32.400001525878906" hidden="0" customHeight="1">
      <x:c r="A120" s="80" t="str">
        <x:v>MP-001</x:v>
      </x:c>
      <x:c r="B120" s="80" t="str">
        <x:v>Matchmaking</x:v>
      </x:c>
      <x:c r="C120" s="80" t="str">
        <x:v>Either player</x:v>
      </x:c>
      <x:c r="D120" s="80" t="str">
        <x:v>As an either player, I can play a local hotseat game without a referee.</x:v>
      </x:c>
      <x:c r="E120" s="80" t="str">
        <x:v>No WebSocket is opened; the page remains usable as hotseat, and the identity panel says that no table server is available. A cold play.html does not unexpectedly connect.</x:v>
      </x:c>
      <x:c r="F120" s="80" t="str">
        <x:v>/matchmaking.html</x:v>
      </x:c>
      <x:c r="G120" s="80" t="str">
        <x:v>Either player; play.html is opened from file: or without a valid table URL and the user does not need a NIP-07 key.</x:v>
      </x:c>
      <x:c r="H120" s="80" t="str">
        <x:v>Open the play page and choose a local/solo setup.</x:v>
      </x:c>
      <x:c r="I120" s="80" t="str">
        <x:v>Client tests cover local game setup, but no named browser test proves a file-origin cold page. Clarify whether a file-origin leaderboard should be expected to load relays (the page currently explains why it may not).</x:v>
      </x:c>
      <x:c r="J120" s="80" t="str">
        <x:v>Not Run</x:v>
      </x:c>
      <x:c r="K120" s="80" t="str">
        <x:v>Not Run</x:v>
      </x:c>
      <x:c r="L120" s="80"/>
      <x:c r="M120" s="80"/>
      <x:c r="N120" s="80" t="str">
        <x:v>Client tests cover local game setup, but no named browser test proves a file-origin cold page. Clarify whether a file-origin leaderboard should be expected to load relays (the page currently explains why it may not).</x:v>
      </x:c>
      <x:c r="O120" s="80" t="str">
        <x:v>site/net.js:265-281,320-331; site/play.js:4073-4079; site/play.js:4114-4120.</x:v>
      </x:c>
    </x:row>
    <x:row r="121" ht="43.20000076293945" hidden="0" customHeight="1">
      <x:c r="A121" s="80" t="str">
        <x:v>MP-002</x:v>
      </x:c>
      <x:c r="B121" s="80" t="str">
        <x:v>Matchmaking</x:v>
      </x:c>
      <x:c r="C121" s="80" t="str">
        <x:v>Player has a browser NIP-07 signer</x:v>
      </x:c>
      <x:c r="D121" s="80" t="str">
        <x:v>As a player has a browser nip-07 signer, I can sign in and sign out with NIP-07.</x:v>
      </x:c>
      <x:c r="E121" s="80" t="str">
        <x:v>The public key is displayed in shortened form; lobby actions become available after login. A failed/declined request shows an actionable notice. Logout removes the saved key and hides identity controls.</x:v>
      </x:c>
      <x:c r="F121" s="80" t="str">
        <x:v>/matchmaking.html</x:v>
      </x:c>
      <x:c r="G121" s="80" t="str">
        <x:v>Player has a browser NIP-07 signer; online create/join/queue requires a saved pubkey.</x:v>
      </x:c>
      <x:c r="H121" s="80" t="str">
        <x:v>Click Sign in, approve the extension request, or click Sign out.</x:v>
      </x:c>
      <x:c r="I121" s="80" t="str">
        <x:v>tests/js/client.test.mjs covers “online create/join require NIP07” and “intents wait for signed NIP42”. MP-D05 below records that logout does not explicitly leave/close a live seat; product must decide whether “sign out” means only future auth or also ending the current session.</x:v>
      </x:c>
      <x:c r="J121" s="80" t="str">
        <x:v>Not Run</x:v>
      </x:c>
      <x:c r="K121" s="80" t="str">
        <x:v>Not Run</x:v>
      </x:c>
      <x:c r="L121" s="80"/>
      <x:c r="M121" s="80"/>
      <x:c r="N121" s="80" t="str">
        <x:v>tests/js/client.test.mjs covers “online create/join require NIP07” and “intents wait for signed NIP42”. MP-D05 below records that logout does not explicitly leave/close a live seat; product must decide whether “sign out” means only future auth or also ending the current session.</x:v>
      </x:c>
      <x:c r="O121" s="80" t="str">
        <x:v>site/net.js:731-757; site/matchmaking.js:405-414,527-529; site/play.js:3987-4008,4018-4021; site/matchmaking.html:150-180.</x:v>
      </x:c>
    </x:row>
    <x:row r="122" ht="32.400001525878906" hidden="0" customHeight="1">
      <x:c r="A122" s="80" t="str">
        <x:v>MP-003</x:v>
      </x:c>
      <x:c r="B122" s="80" t="str">
        <x:v>Matchmaking</x:v>
      </x:c>
      <x:c r="C122" s="80" t="str">
        <x:v>Player has a ?table=ws://.../wss://... link, a saved session URL, or a page served by the referee.</x:v>
      </x:c>
      <x:c r="D122" s="80" t="str">
        <x:v>As a player has a ?table=ws://.../wss://... link, a saved session url, or a page served by the referee., I can select a safe referee/table URL.</x:v>
      </x:c>
      <x:c r="E122" s="80" t="str">
        <x:v>URL precedence is explicit query, saved session, then same-origin WebSocket; non-WebSocket schemes/whitespace are rejected. A saved table is used for resume, and a loopback table is identified as local-only for invite purposes.</x:v>
      </x:c>
      <x:c r="F122" s="80" t="str">
        <x:v>/matchmaking.html</x:v>
      </x:c>
      <x:c r="G122" s="80" t="str">
        <x:v>Player has a ?table=ws://.../wss://... link, a saved session URL, or a page served by the referee.</x:v>
      </x:c>
      <x:c r="H122" s="80" t="str">
        <x:v>Open a link or reload the app.</x:v>
      </x:c>
      <x:c r="I122" s="80" t="str">
        <x:v>tests/js/net.test.mjs covers malformed URLs, DNS-rebinding socket/HTTP, configured hosts, TLS advertised URL and invalid public URL. The user-facing wording for an invalid ?table= link is only the generic NO_TABLE notice.</x:v>
      </x:c>
      <x:c r="J122" s="80" t="str">
        <x:v>Not Run</x:v>
      </x:c>
      <x:c r="K122" s="80" t="str">
        <x:v>Not Run</x:v>
      </x:c>
      <x:c r="L122" s="80"/>
      <x:c r="M122" s="80"/>
      <x:c r="N122" s="80" t="str">
        <x:v>tests/js/net.test.mjs covers malformed URLs, DNS-rebinding socket/HTTP, configured hosts, TLS advertised URL and invalid public URL. The user-facing wording for an invalid ?table= link is only the generic NO_TABLE notice.</x:v>
      </x:c>
      <x:c r="O122" s="80" t="str">
        <x:v>site/net.js:265-310,320-331; site/matchmaking.js:354-360.</x:v>
      </x:c>
    </x:row>
    <x:row r="123" ht="32.400001525878906" hidden="0" customHeight="1">
      <x:c r="A123" s="80" t="str">
        <x:v>MP-004</x:v>
      </x:c>
      <x:c r="B123" s="80" t="str">
        <x:v>Matchmaking</x:v>
      </x:c>
      <x:c r="C123" s="80" t="str">
        <x:v>A WebSocket connection reaches the referee</x:v>
      </x:c>
      <x:c r="D123" s="80" t="str">
        <x:v>As a websocket connection reaches the referee, I can complete the NIP-42 WebSocket login.</x:v>
      </x:c>
      <x:c r="E123" s="80" t="str">
        <x:v>The client checks 64-hex challenge, relay tag host equals the dialed table host, and returned signer pubkey equals the saved key before sending AUTH; the server checks event id/signature/age and answers AUTH_OK. An invalid/mismatched challenge is refused without sending a credential.</x:v>
      </x:c>
      <x:c r="F123" s="80" t="str">
        <x:v>/matchmaking.html</x:v>
      </x:c>
      <x:c r="G123" s="80" t="str">
        <x:v>A WebSocket connection reaches the referee; an authenticated NIP-07 key is available.</x:v>
      </x:c>
      <x:c r="H123" s="80" t="str">
        <x:v>Referee sends a one-use challenge; signer approves the event.</x:v>
      </x:c>
      <x:c r="I123" s="80" t="str">
        <x:v>tests/js/net.test.mjs covers fresh verified NIP42, identity binding, DNS rebinding, auth/control rate budgets, and foreign origins. The signer-denial UI depends on the extension's error text.</x:v>
      </x:c>
      <x:c r="J123" s="80" t="str">
        <x:v>Not Run</x:v>
      </x:c>
      <x:c r="K123" s="80" t="str">
        <x:v>Not Run</x:v>
      </x:c>
      <x:c r="L123" s="80"/>
      <x:c r="M123" s="80"/>
      <x:c r="N123" s="80" t="str">
        <x:v>tests/js/net.test.mjs covers fresh verified NIP42, identity binding, DNS rebinding, auth/control rate budgets, and foreign origins. The signer-denial UI depends on the extension's error text.</x:v>
      </x:c>
      <x:c r="O123" s="80" t="str">
        <x:v>site/net.js:342-444; server/table.js:617-666,1633-1701; site/schnorr.js:288-317.</x:v>
      </x:c>
    </x:row>
    <x:row r="124" ht="32.400001525878906" hidden="0" customHeight="1">
      <x:c r="A124" s="80" t="str">
        <x:v>MP-005</x:v>
      </x:c>
      <x:c r="B124" s="80" t="str">
        <x:v>Matchmaking</x:v>
      </x:c>
      <x:c r="C124" s="80" t="str">
        <x:v>The key owns unfinished match seats recorded by the referee or signed Nostr starts</x:v>
      </x:c>
      <x:c r="D124" s="80" t="str">
        <x:v>As a key owns unfinished match seats recorded by the referee or signed nostr starts, I can recover active matches after authentication.</x:v>
      </x:c>
      <x:c r="E124" s="80" t="str">
        <x:v>AUTH_OK.active exposes unfinished sessions; lobby shows opponent/stake and a Rejoin action. Rejoin carries the match's validated ws(s) URL and identity, not an arbitrary relay value.</x:v>
      </x:c>
      <x:c r="F124" s="80" t="str">
        <x:v>/matchmaking.html</x:v>
      </x:c>
      <x:c r="G124" s="80" t="str">
        <x:v>The key owns unfinished match seats recorded by the referee or signed Nostr starts; browser may have no local token.</x:v>
      </x:c>
      <x:c r="H124" s="80" t="str">
        <x:v>Sign in on the lobby or reload the app.</x:v>
      </x:c>
      <x:c r="I124" s="80" t="str">
        <x:v>A match that is already finished is deliberately omitted from active sessions; the closing result is recovered through OVER/STATE instead. Confirm copy distinguishes “unfinished active” from “finished record”.</x:v>
      </x:c>
      <x:c r="J124" s="80" t="str">
        <x:v>Not Run</x:v>
      </x:c>
      <x:c r="K124" s="80" t="str">
        <x:v>Not Run</x:v>
      </x:c>
      <x:c r="L124" s="80"/>
      <x:c r="M124" s="80"/>
      <x:c r="N124" s="80" t="str">
        <x:v>A match that is already finished is deliberately omitted from active sessions; the closing result is recovered through OVER/STATE instead. Confirm copy distinguishes “unfinished active” from “finished record”.</x:v>
      </x:c>
      <x:c r="O124" s="80" t="str">
        <x:v>site/net.js:426-441,644-665,1073-1120; site/matchmaking.js:231-257; tests/js/client.test.mjs “npub alone finds matches”, “published result over/not resumable”.</x:v>
      </x:c>
    </x:row>
    <x:row r="125" ht="32.400001525878906" hidden="0" customHeight="1">
      <x:c r="A125" s="80" t="str">
        <x:v>MP-006</x:v>
      </x:c>
      <x:c r="B125" s="80" t="str">
        <x:v>Matchmaking</x:v>
      </x:c>
      <x:c r="C125" s="80" t="str">
        <x:v>Authenticated host, reachable referee, legal optional stake/name/affinity/Stack.</x:v>
      </x:c>
      <x:c r="D125" s="80" t="str">
        <x:v>As an authenticated host, reachable referee, legal optional stake/name/affinity/stack., I can create an open table.</x:v>
      </x:c>
      <x:c r="E125" s="80" t="str">
        <x:v>Server normalizes name/affinity/stake, validates custom deck, creates one open row with six-character code and host seat/token, and sends STATE showing open, claimable, stake and host presence.</x:v>
      </x:c>
      <x:c r="F125" s="80" t="str">
        <x:v>/matchmaking.html</x:v>
      </x:c>
      <x:c r="G125" s="80" t="str">
        <x:v>Authenticated host, reachable referee, legal optional stake/name/affinity/Stack.</x:v>
      </x:c>
      <x:c r="H125" s="80" t="str">
        <x:v>Set lobby fields and press Create/open table.</x:v>
      </x:c>
      <x:c r="I125" s="80" t="str">
        <x:v>tests/js/net.test.mjs “legacy no advertisement/join”, “hosting twice no orphan”, “stake integer” and /api/tables coverage. The UI still lets a user type a zero/negative stake; server safely turns invalid/nonpositive values into a friendly match (see MP-055).</x:v>
      </x:c>
      <x:c r="J125" s="80" t="str">
        <x:v>Not Run</x:v>
      </x:c>
      <x:c r="K125" s="80" t="str">
        <x:v>Not Run</x:v>
      </x:c>
      <x:c r="L125" s="80"/>
      <x:c r="M125" s="80"/>
      <x:c r="N125" s="80" t="str">
        <x:v>tests/js/net.test.mjs “legacy no advertisement/join”, “hosting twice no orphan”, “stake integer” and /api/tables coverage. The UI still lets a user type a zero/negative stake; server safely turns invalid/nonpositive values into a friendly match (see MP-055).</x:v>
      </x:c>
      <x:c r="O125" s="80" t="str">
        <x:v>site/matchmaking.js:261-268; site/net.js:552-573; server/table.js:1086-1171; site/matchmaking.html:180-245.</x:v>
      </x:c>
    </x:row>
    <x:row r="126" ht="32.400001525878906" hidden="0" customHeight="1">
      <x:c r="A126" s="80" t="str">
        <x:v>MP-007</x:v>
      </x:c>
      <x:c r="B126" s="80" t="str">
        <x:v>Matchmaking</x:v>
      </x:c>
      <x:c r="C126" s="80" t="str">
        <x:v>Host is seated at an open table with a code.</x:v>
      </x:c>
      <x:c r="D126" s="80" t="str">
        <x:v>As a host is seated at an open table with a code., I can share an open table by code or link.</x:v>
      </x:c>
      <x:c r="E126" s="80" t="str">
        <x:v>Link carries table/match context; an opener on the lobby gets the free-seat/claimable path rather than an empty spectator board. Host can publish a signed invite separately.</x:v>
      </x:c>
      <x:c r="F126" s="80" t="str">
        <x:v>/matchmaking.html</x:v>
      </x:c>
      <x:c r="G126" s="80" t="str">
        <x:v>Host is seated at an open table with a code.</x:v>
      </x:c>
      <x:c r="H126" s="80" t="str">
        <x:v>Copy the join link or read the six-character code aloud.</x:v>
      </x:c>
      <x:c r="I126" s="80" t="str">
        <x:v>tests/js/net.test.mjs “share link offers free seat”; tests/js/client.test.mjs “share link handoff”. A plain code has no cryptographic host authentication until NIP-42 at the referee.</x:v>
      </x:c>
      <x:c r="J126" s="80" t="str">
        <x:v>Not Run</x:v>
      </x:c>
      <x:c r="K126" s="80" t="str">
        <x:v>Not Run</x:v>
      </x:c>
      <x:c r="L126" s="80"/>
      <x:c r="M126" s="80"/>
      <x:c r="N126" s="80" t="str">
        <x:v>tests/js/net.test.mjs “share link offers free seat”; tests/js/client.test.mjs “share link handoff”. A plain code has no cryptographic host authentication until NIP-42 at the referee.</x:v>
      </x:c>
      <x:c r="O126" s="80" t="str">
        <x:v>site/matchmaking.js:418-499; site/net.js:303-310; server/table.js:721-756,1493-1500; site/matchmaking.html:220-245.</x:v>
      </x:c>
    </x:row>
    <x:row r="127" ht="32.400001525878906" hidden="0" customHeight="1">
      <x:c r="A127" s="80" t="str">
        <x:v>MP-008</x:v>
      </x:c>
      <x:c r="B127" s="80" t="str">
        <x:v>Matchmaking</x:v>
      </x:c>
      <x:c r="C127" s="80" t="str">
        <x:v>Player can reach the referee HTTP origin, even if Nostr relays are unavailable.</x:v>
      </x:c>
      <x:c r="D127" s="80" t="str">
        <x:v>As a player can reach the referee http origin, even if nostr relays are unavailable., I can browse relay-free open tables.</x:v>
      </x:c>
      <x:c r="E127" s="80" t="str">
        <x:v>/api/tables returns only joinable open rows with code, name, affinity, stake, pubkey, creation time and hostOnline; lobby displays “host away” and a stake-aware Join button.</x:v>
      </x:c>
      <x:c r="F127" s="80" t="str">
        <x:v>/matchmaking.html</x:v>
      </x:c>
      <x:c r="G127" s="80" t="str">
        <x:v>Player can reach the referee HTTP origin, even if Nostr relays are unavailable.</x:v>
      </x:c>
      <x:c r="H127" s="80" t="str">
        <x:v>Press Refresh tables.</x:v>
      </x:c>
      <x:c r="I127" s="80" t="str">
        <x:v>tests/js/net.test.mjs “HTTP health/list/live match”, “/api/tables hostOnline”. Host-away rows remain joinable in the UI even though joining may wait; product should decide whether the button should be disabled or explicitly warn.</x:v>
      </x:c>
      <x:c r="J127" s="80" t="str">
        <x:v>Not Run</x:v>
      </x:c>
      <x:c r="K127" s="80" t="str">
        <x:v>Not Run</x:v>
      </x:c>
      <x:c r="L127" s="80"/>
      <x:c r="M127" s="80"/>
      <x:c r="N127" s="80" t="str">
        <x:v>tests/js/net.test.mjs “HTTP health/list/live match”, “/api/tables hostOnline”. Host-away rows remain joinable in the UI even though joining may wait; product should decide whether the button should be disabled or explicitly warn.</x:v>
      </x:c>
      <x:c r="O127" s="80" t="str">
        <x:v>site/net.js:719-727; server/table.js:1815-1834; site/matchmaking.js:292-312.</x:v>
      </x:c>
    </x:row>
    <x:row r="128" ht="43.20000076293945" hidden="0" customHeight="1">
      <x:c r="A128" s="80" t="str">
        <x:v>MP-009</x:v>
      </x:c>
      <x:c r="B128" s="80" t="str">
        <x:v>Matchmaking</x:v>
      </x:c>
      <x:c r="C128" s="80" t="str">
        <x:v>Guest is authenticated</x:v>
      </x:c>
      <x:c r="D128" s="80" t="str">
        <x:v>As a guest is authenticated, I can join a table and acknowledge the displayed stake.</x:v>
      </x:c>
      <x:c r="E128" s="80" t="str">
        <x:v>Guest sends identity and the stake that was shown when joining a listed table; server rejects no-such/full/over/self/same-pubkey/stake mismatch and only deals the game after a legal match. An omitted stake means “whatever the table says” for legacy/manual code behavior.</x:v>
      </x:c>
      <x:c r="F128" s="80" t="str">
        <x:v>/matchmaking.html</x:v>
      </x:c>
      <x:c r="G128" s="80" t="str">
        <x:v>Guest is authenticated; code is six characters; table is open, not full/finished/self-owned.</x:v>
      </x:c>
      <x:c r="H128" s="80" t="str">
        <x:v>Enter code or use a table-list row, choose name/affinity/Stack, press Join.</x:v>
      </x:c>
      <x:c r="I128" s="80" t="str">
        <x:v>tests/js/net.test.mjs “CREATE+JOIN different views”, “stake integer”, “guest not dealt unaccepted wager”, “same connection twice refused”; client tests cover invalid challenges and naming own table. MP-D01 concerns invite-specific omission of this acknowledgement.</x:v>
      </x:c>
      <x:c r="J128" s="80" t="str">
        <x:v>Not Run</x:v>
      </x:c>
      <x:c r="K128" s="80" t="str">
        <x:v>Not Run</x:v>
      </x:c>
      <x:c r="L128" s="80"/>
      <x:c r="M128" s="80"/>
      <x:c r="N128" s="80" t="str">
        <x:v>tests/js/net.test.mjs “CREATE+JOIN different views”, “stake integer”, “guest not dealt unaccepted wager”, “same connection twice refused”; client tests cover invalid challenges and naming own table. MP-D01 concerns invite-specific omission of this acknowledgement.</x:v>
      </x:c>
      <x:c r="O128" s="80" t="str">
        <x:v>site/matchmaking.js:270-290,298-306; site/net.js:582-607; server/table.js:1173-1250.</x:v>
      </x:c>
    </x:row>
    <x:row r="129" ht="43.20000076293945" hidden="0" customHeight="1">
      <x:c r="A129" s="80" t="str">
        <x:v>MP-010</x:v>
      </x:c>
      <x:c r="B129" s="80" t="str">
        <x:v>Matchmaking</x:v>
      </x:c>
      <x:c r="C129" s="80" t="str">
        <x:v>Host is seated and online</x:v>
      </x:c>
      <x:c r="D129" s="80" t="str">
        <x:v>As a host is seated and online, I can publish a signed open or addressed invite.</x:v>
      </x:c>
      <x:c r="E129" s="80" t="str">
        <x:v>A NIP-01 kind 4600 event includes t=invite, m=matchId, expiration, table URL, code, host metadata, ruleset/catalog and optional p recipient; NIP-07 signs it, relays are attempted, and the referee records it regardless of relay acceptance.</x:v>
      </x:c>
      <x:c r="F129" s="80" t="str">
        <x:v>/matchmaking.html</x:v>
      </x:c>
      <x:c r="G129" s="80" t="str">
        <x:v>Host is seated and online; table URL is non-loopback; optional challenge npub is valid.</x:v>
      </x:c>
      <x:c r="H129" s="80" t="str">
        <x:v>Enter an optional challenge key and press Publish invite.</x:v>
      </x:c>
      <x:c r="I129" s="80" t="str">
        <x:v>tests/js/client.test.mjs covers signed invite shape/relay publishing. MP-D01: publisher omits stake: state.stake, so the signed invite says zero; MP-D02: a typo in optional npub silently downgrades to an open invite; MP-D03: parser does not enforce the NIP-40 expiration tag.</x:v>
      </x:c>
      <x:c r="J129" s="80" t="str">
        <x:v>Not Run</x:v>
      </x:c>
      <x:c r="K129" s="80" t="str">
        <x:v>Not Run</x:v>
      </x:c>
      <x:c r="L129" s="80"/>
      <x:c r="M129" s="80"/>
      <x:c r="N129" s="80" t="str">
        <x:v>tests/js/client.test.mjs covers signed invite shape/relay publishing. MP-D01: publisher omits stake: state.stake, so the signed invite says zero; MP-D02: a typo in optional npub silently downgrades to an open invite; MP-D03: parser does not enforce the NIP-40 expiration tag.</x:v>
      </x:c>
      <x:c r="O129" s="80" t="str">
        <x:v>site/matchmaking.js:336-371; site/net.js:804-835; site/schnorr.js:288-317.</x:v>
      </x:c>
    </x:row>
    <x:row r="130" ht="43.20000076293945" hidden="0" customHeight="1">
      <x:c r="A130" s="80" t="str">
        <x:v>MP-011</x:v>
      </x:c>
      <x:c r="B130" s="80" t="str">
        <x:v>Matchmaking</x:v>
      </x:c>
      <x:c r="C130" s="80" t="str">
        <x:v>Guest is logged in and has WebSocket/Schnorr/relay access.</x:v>
      </x:c>
      <x:c r="D130" s="80" t="str">
        <x:v>As a guest is logged in and has websocket/schnorr/relay access., I can discover only verified invites.</x:v>
      </x:c>
      <x:c r="E130" s="80" t="str">
        <x:v>Client queries recent open/addressed invite events, validates schema and ws(s) table URL, verifies the event signature before rendering, deduplicates relay copies, and offers Join. With no verifier, no invite is shown.</x:v>
      </x:c>
      <x:c r="F130" s="80" t="str">
        <x:v>/matchmaking.html</x:v>
      </x:c>
      <x:c r="G130" s="80" t="str">
        <x:v>Guest is logged in and has WebSocket/Schnorr/relay access.</x:v>
      </x:c>
      <x:c r="H130" s="80" t="str">
        <x:v>Press Check invites.</x:v>
      </x:c>
      <x:c r="I130" s="80" t="str">
        <x:v>No direct browser test found. MP-D03 is a freshness gap: query since is used, but parseInvite ignores the event expiration tag, so an event created recently with a past expiration can be offered. MP-D01 also means the displayed row contains no wager amount.</x:v>
      </x:c>
      <x:c r="J130" s="80" t="str">
        <x:v>Not Run</x:v>
      </x:c>
      <x:c r="K130" s="80" t="str">
        <x:v>Not Run</x:v>
      </x:c>
      <x:c r="L130" s="80"/>
      <x:c r="M130" s="80"/>
      <x:c r="N130" s="80" t="str">
        <x:v>No direct browser test found. MP-D03 is a freshness gap: query since is used, but parseInvite ignores the event expiration tag, so an event created recently with a past expiration can be offered. MP-D01 also means the displayed row contains no wager amount.</x:v>
      </x:c>
      <x:c r="O130" s="80" t="str">
        <x:v>site/matchmaking.js:314-334; site/net.js:936-1016.</x:v>
      </x:c>
    </x:row>
    <x:row r="131" ht="32.400001525878906" hidden="0" customHeight="1">
      <x:c r="A131" s="80" t="str">
        <x:v>MP-012</x:v>
      </x:c>
      <x:c r="B131" s="80" t="str">
        <x:v>Matchmaking</x:v>
      </x:c>
      <x:c r="C131" s="80" t="str">
        <x:v>A created/joined/paired guest receives a playing STATE.</x:v>
      </x:c>
      <x:c r="D131" s="80" t="str">
        <x:v>As a created/joined/paired guest receives a playing state., I can complete a lobby-to-table handoff.</x:v>
      </x:c>
      <x:c r="E131" s="80" t="str">
        <x:v>Matchmaking stops being interactive once seated; the page transitions to the game only after the referee has dealt both seats. An open table points back to matchmaking rather than rendering an uninitialized board.</x:v>
      </x:c>
      <x:c r="F131" s="80" t="str">
        <x:v>/matchmaking.html</x:v>
      </x:c>
      <x:c r="G131" s="80" t="str">
        <x:v>A created/joined/paired guest receives a playing STATE.</x:v>
      </x:c>
      <x:c r="H131" s="80" t="str">
        <x:v>Wait for the handoff or follow a claimable share link.</x:v>
      </x:c>
      <x:c r="I131" s="80" t="str">
        <x:v>tests/js/client.test.mjs “handoff survives lobby navigation” and tests/js/net.test.mjs “CREATE+JOIN different views”. The browser navigation is a hard page change; a user who presses Back may need a fresh lobby resume.</x:v>
      </x:c>
      <x:c r="J131" s="80" t="str">
        <x:v>Not Run</x:v>
      </x:c>
      <x:c r="K131" s="80" t="str">
        <x:v>Not Run</x:v>
      </x:c>
      <x:c r="L131" s="80"/>
      <x:c r="M131" s="80"/>
      <x:c r="N131" s="80" t="str">
        <x:v>tests/js/client.test.mjs “handoff survives lobby navigation” and tests/js/net.test.mjs “CREATE+JOIN different views”. The browser navigation is a hard page change; a user who presses Back may need a fresh lobby resume.</x:v>
      </x:c>
      <x:c r="O131" s="80" t="str">
        <x:v>site/matchmaking.js:89-113,418-499; site/play.js:3555-3579; server/table.js:1228-1248.</x:v>
      </x:c>
    </x:row>
    <x:row r="132" ht="43.20000076293945" hidden="0" customHeight="1">
      <x:c r="A132" s="80" t="str">
        <x:v>MP-013</x:v>
      </x:c>
      <x:c r="B132" s="80" t="str">
        <x:v>Matchmaking</x:v>
      </x:c>
      <x:c r="C132" s="80" t="str">
        <x:v>Authenticated player has a referee URL and optionally a legal custom Stack.</x:v>
      </x:c>
      <x:c r="D132" s="80" t="str">
        <x:v>As an authenticated player has a referee url and optionally a legal custom stack., I can find a random opponent with matching terms.</x:v>
      </x:c>
      <x:c r="E132" s="80" t="str">
        <x:v>Client queues an intent that survives a socket reconnect; server pairs only distinct pubkeys, equal whole-sat stake and equal Ready/Custom deck mode, atomically creates both seats and sends playing STATE to both. Affinity is metadata, not a pairing key in current code.</x:v>
      </x:c>
      <x:c r="F132" s="80" t="str">
        <x:v>/matchmaking.html</x:v>
      </x:c>
      <x:c r="G132" s="80" t="str">
        <x:v>Authenticated player has a referee URL and optionally a legal custom Stack.</x:v>
      </x:c>
      <x:c r="H132" s="80" t="str">
        <x:v>Choose stake/affinity/Stack mode and press Find opponent.</x:v>
      </x:c>
      <x:c r="I132" s="80" t="str">
        <x:v>tests/js/net.test.mjs “queue pairs identities”, “identity never self-matched”, “queue wager match”, “custom Stack waits built”. MP-D15 is a product ambiguity: lobby presents affinity choices but findPair does not match on affinity; document whether this is intentionally cosmetic.</x:v>
      </x:c>
      <x:c r="J132" s="80" t="str">
        <x:v>Not Run</x:v>
      </x:c>
      <x:c r="K132" s="80" t="str">
        <x:v>Not Run</x:v>
      </x:c>
      <x:c r="L132" s="80"/>
      <x:c r="M132" s="80"/>
      <x:c r="N132" s="80" t="str">
        <x:v>tests/js/net.test.mjs “queue pairs identities”, “identity never self-matched”, “queue wager match”, “custom Stack waits built”. MP-D15 is a product ambiguity: lobby presents affinity choices but findPair does not match on affinity; document whether this is intentionally cosmetic.</x:v>
      </x:c>
      <x:c r="O132" s="80" t="str">
        <x:v>site/matchmaking.js:188-205; site/net.js:609-635; server/table.js:1252-1388; site/matchmaking.html:180-220.</x:v>
      </x:c>
    </x:row>
    <x:row r="133" ht="32.400001525878906" hidden="0" customHeight="1">
      <x:c r="A133" s="80" t="str">
        <x:v>MP-014</x:v>
      </x:c>
      <x:c r="B133" s="80" t="str">
        <x:v>Matchmaking</x:v>
      </x:c>
      <x:c r="C133" s="80" t="str">
        <x:v>Authenticated player has sent QUEUE.</x:v>
      </x:c>
      <x:c r="D133" s="80" t="str">
        <x:v>As an authenticated player has sent queue., I can see queue position, wait and cancel.</x:v>
      </x:c>
      <x:c r="E133" s="80" t="str">
        <x:v>QUEUED shows position/waiting count and lobby changes chip/button state; cancel removes the entry and re-announces positions. A dropped socket removes a ghost entry.</x:v>
      </x:c>
      <x:c r="F133" s="80" t="str">
        <x:v>/matchmaking.html</x:v>
      </x:c>
      <x:c r="G133" s="80" t="str">
        <x:v>Authenticated player has sent QUEUE.</x:v>
      </x:c>
      <x:c r="H133" s="80" t="str">
        <x:v>Observe status or press Cancel search.</x:v>
      </x:c>
      <x:c r="I133" s="80" t="str">
        <x:v>tests/js/net.test.mjs “queue/connection leave free place”, “queue while live match refused”, “unauth queue refused”. No browser test confirms the position text remains readable during reconnect.</x:v>
      </x:c>
      <x:c r="J133" s="80" t="str">
        <x:v>Not Run</x:v>
      </x:c>
      <x:c r="K133" s="80" t="str">
        <x:v>Not Run</x:v>
      </x:c>
      <x:c r="L133" s="80"/>
      <x:c r="M133" s="80"/>
      <x:c r="N133" s="80" t="str">
        <x:v>tests/js/net.test.mjs “queue/connection leave free place”, “queue while live match refused”, “unauth queue refused”. No browser test confirms the position text remains readable during reconnect.</x:v>
      </x:c>
      <x:c r="O133" s="80" t="str">
        <x:v>site/net.js:465-483,638-642; site/matchmaking.js:207-229; server/table.js:1258-1277,1390-1392,1692-1697.</x:v>
      </x:c>
    </x:row>
    <x:row r="134" ht="32.400001525878906" hidden="0" customHeight="1">
      <x:c r="A134" s="80" t="str">
        <x:v>MP-015</x:v>
      </x:c>
      <x:c r="B134" s="80" t="str">
        <x:v>Matchmaking</x:v>
      </x:c>
      <x:c r="C134" s="80" t="str">
        <x:v>A saved custom deck exists</x:v>
      </x:c>
      <x:c r="D134" s="80" t="str">
        <x:v>As a saved custom deck exists, I can choose a custom Stack and prove NutFT possession.</x:v>
      </x:c>
      <x:c r="E134" s="80" t="str">
        <x:v>Lobby shows the custom Stack/library and a minimum-count warning; before a marked NutFT deck starts, the wallet snapshot is checked and insufficient ownership blocks the start with the missing card/count.</x:v>
      </x:c>
      <x:c r="F134" s="80" t="str">
        <x:v>/matchmaking.html</x:v>
      </x:c>
      <x:c r="G134" s="80" t="str">
        <x:v>A saved custom deck exists; it may be marked as NutFT-owned.</x:v>
      </x:c>
      <x:c r="H134" s="80" t="str">
        <x:v>Select the Stack in matchmaking/setup and start/join.</x:v>
      </x:c>
      <x:c r="I134" s="80" t="str">
        <x:v>tests/js/net.test.mjs “custom Stack dealt”, “illegal Stack refused”, “built Stack waits built”; NutFT wallet tests cover possession separately. The UI is browser-local and does not show which card proofs were checked beyond the error text.</x:v>
      </x:c>
      <x:c r="J134" s="80" t="str">
        <x:v>Not Run</x:v>
      </x:c>
      <x:c r="K134" s="80" t="str">
        <x:v>Not Run</x:v>
      </x:c>
      <x:c r="L134" s="80"/>
      <x:c r="M134" s="80"/>
      <x:c r="N134" s="80" t="str">
        <x:v>tests/js/net.test.mjs “custom Stack dealt”, “illegal Stack refused”, “built Stack waits built”; NutFT wallet tests cover possession separately. The UI is browser-local and does not show which card proofs were checked beyond the error text.</x:v>
      </x:c>
      <x:c r="O134" s="80" t="str">
        <x:v>site/matchmaking.js:119-184; site/play.js:4083-4112; site/matchmaking.html:180-220.</x:v>
      </x:c>
    </x:row>
    <x:row r="135" ht="43.20000076293945" hidden="0" customHeight="1">
      <x:c r="A135" s="80" t="str">
        <x:v>MP-016</x:v>
      </x:c>
      <x:c r="B135" s="80" t="str">
        <x:v>Matchmaking</x:v>
      </x:c>
      <x:c r="C135" s="80" t="str">
        <x:v>Client or malicious caller submits unknown cards, too few/too many cards, too many copies, Stake-module cards, or malformed list.</x:v>
      </x:c>
      <x:c r="D135" s="80" t="str">
        <x:v>As a client or malicious caller submits unknown cards, too few/too many cards, too many copies, stake-module cards, or malformed list., I can referee rejects an illegal custom Stack.</x:v>
      </x:c>
      <x:c r="E135" s="80" t="str">
        <x:v>Server validates independently: max 300, min E.MIN_STACK, known catalog ids, module availability and copy limits; returns BAD_DECK without dealing. Queue pair failure reports both players and does not silently create a half-match.</x:v>
      </x:c>
      <x:c r="F135" s="80" t="str">
        <x:v>/matchmaking.html</x:v>
      </x:c>
      <x:c r="G135" s="80" t="str">
        <x:v>Client or malicious caller submits unknown cards, too few/too many cards, too many copies, Stake-module cards, or malformed list.</x:v>
      </x:c>
      <x:c r="H135" s="80" t="str">
        <x:v>Create/join/queue with the submitted Stack.</x:v>
      </x:c>
      <x:c r="I135" s="80" t="str">
        <x:v>tests/js/net.test.mjs “illegal Stack refused”, “built Stack waits built”. Error-to-UI maps DECK_BUILD_FAILED but not a dedicated BAD_DECK message, so malformed user decks can surface raw server prose.</x:v>
      </x:c>
      <x:c r="J135" s="80" t="str">
        <x:v>Not Run</x:v>
      </x:c>
      <x:c r="K135" s="80" t="str">
        <x:v>Not Run</x:v>
      </x:c>
      <x:c r="L135" s="80"/>
      <x:c r="M135" s="80"/>
      <x:c r="N135" s="80" t="str">
        <x:v>tests/js/net.test.mjs “illegal Stack refused”, “built Stack waits built”. Error-to-UI maps DECK_BUILD_FAILED but not a dedicated BAD_DECK message, so malformed user decks can surface raw server prose.</x:v>
      </x:c>
      <x:c r="O135" s="80" t="str">
        <x:v>server/table.js:1088-1142,1144-1171,1215-1225,1280-1323,1353-1365; site/net.js:575-580; site/play.js:3639-3652.</x:v>
      </x:c>
    </x:row>
    <x:row r="136" ht="32.400001525878906" hidden="0" customHeight="1">
      <x:c r="A136" s="80" t="str">
        <x:v>MP-017</x:v>
      </x:c>
      <x:c r="B136" s="80" t="str">
        <x:v>Online match</x:v>
      </x:c>
      <x:c r="C136" s="80" t="str">
        <x:v>A browser has one or more tabs at the same origin.</x:v>
      </x:c>
      <x:c r="D136" s="80" t="str">
        <x:v>As a browser has one or more tabs at the same origin., I can keep one per-tab seat credential.</x:v>
      </x:c>
      <x:c r="E136" s="80" t="str">
        <x:v>Current tab uses sessionStorage; localStorage keeps per-match/per-seat token records with tab id and heartbeat. A live other tab is not stolen; a stale/closed tab can reclaim its seat.</x:v>
      </x:c>
      <x:c r="F136" s="80" t="str">
        <x:v>/play.html and referee</x:v>
      </x:c>
      <x:c r="G136" s="80" t="str">
        <x:v>A browser has one or more tabs at the same origin.</x:v>
      </x:c>
      <x:c r="H136" s="80" t="str">
        <x:v>Reload, open another tab, close/reopen the browser, or return to a live table.</x:v>
      </x:c>
      <x:c r="I136" s="80" t="str">
        <x:v>tests/js/net.test.mjs “token takeover/stranger spectates”, “every match own token”, “forgotten queue cannot hand live match”. Browser private-mode storage failures are swallowed; UX for no persistence is not explicit.</x:v>
      </x:c>
      <x:c r="J136" s="80" t="str">
        <x:v>Not Run</x:v>
      </x:c>
      <x:c r="K136" s="80" t="str">
        <x:v>Not Run</x:v>
      </x:c>
      <x:c r="L136" s="80"/>
      <x:c r="M136" s="80"/>
      <x:c r="N136" s="80" t="str">
        <x:v>tests/js/net.test.mjs “token takeover/stranger spectates”, “every match own token”, “forgotten queue cannot hand live match”. Browser private-mode storage failures are swallowed; UX for no persistence is not explicit.</x:v>
      </x:c>
      <x:c r="O136" s="80" t="str">
        <x:v>site/net.js:154-263; site/net.js:491-510.</x:v>
      </x:c>
    </x:row>
    <x:row r="137" ht="32.400001525878906" hidden="0" customHeight="1">
      <x:c r="A137" s="80" t="str">
        <x:v>MP-018</x:v>
      </x:c>
      <x:c r="B137" s="80" t="str">
        <x:v>Online match</x:v>
      </x:c>
      <x:c r="C137" s="80" t="str">
        <x:v>A table intent/session exists</x:v>
      </x:c>
      <x:c r="D137" s="80" t="str">
        <x:v>As a table intent/session exists, I can reconnect automatically and force a manual resume.</x:v>
      </x:c>
      <x:c r="E137" s="80" t="str">
        <x:v>Client retries forever with bounded jittered backoff, shows reconnecting, re-authenticates with a fresh challenge and resumes; a dropped action is not replayed. Manual resume immediately asks for a fresh RESUME.</x:v>
      </x:c>
      <x:c r="F137" s="80" t="str">
        <x:v>/play.html and referee</x:v>
      </x:c>
      <x:c r="G137" s="80" t="str">
        <x:v>A table intent/session exists; socket drops or laptop sleeps.</x:v>
      </x:c>
      <x:c r="H137" s="80" t="str">
        <x:v>Wait for reconnect or press panel/keyboard Ctrl+Alt+R.</x:v>
      </x:c>
      <x:c r="I137" s="80" t="str">
        <x:v>tests/js/net.test.mjs covers reconnect/resume and restart recovery. Reconnect can leave the stale board visible for an indefinite period; the product should define when to add a “connection lost” blocking banner rather than only a chip.</x:v>
      </x:c>
      <x:c r="J137" s="80" t="str">
        <x:v>Not Run</x:v>
      </x:c>
      <x:c r="K137" s="80" t="str">
        <x:v>Not Run</x:v>
      </x:c>
      <x:c r="L137" s="80"/>
      <x:c r="M137" s="80"/>
      <x:c r="N137" s="80" t="str">
        <x:v>tests/js/net.test.mjs covers reconnect/resume and restart recovery. Reconnect can leave the stale board visible for an indefinite period; the product should define when to add a “connection lost” blocking banner rather than only a chip.</x:v>
      </x:c>
      <x:c r="O137" s="80" t="str">
        <x:v>site/net.js:368-378,447-463,668-716; site/play.js:3460-3475,4047-4071.</x:v>
      </x:c>
    </x:row>
    <x:row r="138" ht="32.400001525878906" hidden="0" customHeight="1">
      <x:c r="A138" s="80" t="str">
        <x:v>MP-019</x:v>
      </x:c>
      <x:c r="B138" s="80" t="str">
        <x:v>Online match</x:v>
      </x:c>
      <x:c r="C138" s="80" t="str">
        <x:v>Same NIP-07 identity has a valid token or an offline prior seat</x:v>
      </x:c>
      <x:c r="D138" s="80" t="str">
        <x:v>As a same nip-07 identity has a valid token or an offline prior seat, I can take over the seat from a reload/second machine.</x:v>
      </x:c>
      <x:c r="E138" s="80" t="str">
        <x:v>Valid token + matching identity wins; identity-only recovery is allowed when the previous connection is not live; old connection gets SUPERSEDED/4009 and stops retrying; wrong identity receives IDENTITY_MISMATCH.</x:v>
      </x:c>
      <x:c r="F138" s="80" t="str">
        <x:v>/play.html and referee</x:v>
      </x:c>
      <x:c r="G138" s="80" t="str">
        <x:v>Same NIP-07 identity has a valid token or an offline prior seat; another connection may currently hold the seat.</x:v>
      </x:c>
      <x:c r="H138" s="80" t="str">
        <x:v>Resume with token/identity.</x:v>
      </x:c>
      <x:c r="I138" s="80" t="str">
        <x:v>tests/js/net.test.mjs “token takeover/stranger spectates”, “same connection twice refused”, “no seat attack from Wallet”; client tests cover identity mismatch. A user may have to manually close the old tab if a network split makes both appear live.</x:v>
      </x:c>
      <x:c r="J138" s="80" t="str">
        <x:v>Not Run</x:v>
      </x:c>
      <x:c r="K138" s="80" t="str">
        <x:v>Not Run</x:v>
      </x:c>
      <x:c r="L138" s="80"/>
      <x:c r="M138" s="80"/>
      <x:c r="N138" s="80" t="str">
        <x:v>tests/js/net.test.mjs “token takeover/stranger spectates”, “same connection twice refused”, “no seat attack from Wallet”; client tests cover identity mismatch. A user may have to manually close the old tab if a network split makes both appear live.</x:v>
      </x:c>
      <x:c r="O138" s="80" t="str">
        <x:v>server/table.js:1415-1522; site/net.js:368-375,644-665; site/play.js:3455-3460,3639-3651.</x:v>
      </x:c>
    </x:row>
    <x:row r="139" ht="43.20000076293945" hidden="0" customHeight="1">
      <x:c r="A139" s="80" t="str">
        <x:v>MP-020</x:v>
      </x:c>
      <x:c r="B139" s="80" t="str">
        <x:v>Online match</x:v>
      </x:c>
      <x:c r="C139" s="80" t="str">
        <x:v>Stranger follows a playing-table link, or own identity seat is live elsewhere.</x:v>
      </x:c>
      <x:c r="D139" s="80" t="str">
        <x:v>As a stranger follows a playing-table link, or own identity seat is live elsewhere., I can become a safe spectator when no seat can be claimed.</x:v>
      </x:c>
      <x:c r="E139" s="80" t="str">
        <x:v>Referee downgrades to seat:null, sends redacted spectator view/events, marks downgraded and reason; client shows spectating status, refuses all actions, and does not call the viewer a loser at endgame.</x:v>
      </x:c>
      <x:c r="F139" s="80" t="str">
        <x:v>/play.html and referee</x:v>
      </x:c>
      <x:c r="G139" s="80" t="str">
        <x:v>Stranger follows a playing-table link, or own identity seat is live elsewhere.</x:v>
      </x:c>
      <x:c r="H139" s="80" t="str">
        <x:v>Open/resume the match without a claimable token.</x:v>
      </x:c>
      <x:c r="I139" s="80" t="str">
        <x:v>tests/js/net.test.mjs “spectator counts/no shells/no action”; tests/js/client.test.mjs covers spectator act refusal/verdict. Clarify whether spectators should receive live peer online status (currently yes) and whether open-table spectators should see the code again.</x:v>
      </x:c>
      <x:c r="J139" s="80" t="str">
        <x:v>Not Run</x:v>
      </x:c>
      <x:c r="K139" s="80" t="str">
        <x:v>Not Run</x:v>
      </x:c>
      <x:c r="L139" s="80"/>
      <x:c r="M139" s="80"/>
      <x:c r="N139" s="80" t="str">
        <x:v>tests/js/net.test.mjs “spectator counts/no shells/no action”; tests/js/client.test.mjs covers spectator act refusal/verdict. Clarify whether spectators should receive live peer online status (currently yes) and whether open-table spectators should see the code again.</x:v>
      </x:c>
      <x:c r="O139" s="80" t="str">
        <x:v>server/table.js:721-778,1484-1500; site/net.js:491-510; site/play.js:3455-3460,3720-3731; site/play.js:95-151.</x:v>
      </x:c>
    </x:row>
    <x:row r="140" ht="21.600000381469727" hidden="0" customHeight="1">
      <x:c r="A140" s="80" t="str">
        <x:v>MP-021</x:v>
      </x:c>
      <x:c r="B140" s="80" t="str">
        <x:v>Online match</x:v>
      </x:c>
      <x:c r="C140" s="80" t="str">
        <x:v>A playing match has two seats and one connection changes state.</x:v>
      </x:c>
      <x:c r="D140" s="80" t="str">
        <x:v>As a playing match has two seats and one connection changes state., I can show peer online/offline presence.</x:v>
      </x:c>
      <x:c r="E140" s="80" t="str">
        <x:v>PEER updates the net chip/panel and player presence; disconnect does not forfeit or destroy a live match, and resume later reclaims the seat.</x:v>
      </x:c>
      <x:c r="F140" s="80" t="str">
        <x:v>/play.html and referee</x:v>
      </x:c>
      <x:c r="G140" s="80" t="str">
        <x:v>A playing match has two seats and one connection changes state.</x:v>
      </x:c>
      <x:c r="H140" s="80" t="str">
        <x:v>Opponent connects, disconnects, or is superseded.</x:v>
      </x:c>
      <x:c r="I140" s="80" t="str">
        <x:v>tests/js/net.test.mjs “CREATE+JOIN different views”, “queue/connection leave free place”. No explicit timeout-forfeit rule exists; docs call the model open-ended.</x:v>
      </x:c>
      <x:c r="J140" s="80" t="str">
        <x:v>Not Run</x:v>
      </x:c>
      <x:c r="K140" s="80" t="str">
        <x:v>Not Run</x:v>
      </x:c>
      <x:c r="L140" s="80"/>
      <x:c r="M140" s="80"/>
      <x:c r="N140" s="80" t="str">
        <x:v>tests/js/net.test.mjs “CREATE+JOIN different views”, “queue/connection leave free place”. No explicit timeout-forfeit rule exists; docs call the model open-ended.</x:v>
      </x:c>
      <x:c r="O140" s="80" t="str">
        <x:v>server/table.js:707-718,781-790,1516-1522,1591-1600; site/net.js:465-475; site/play.js:3615-3618.</x:v>
      </x:c>
    </x:row>
    <x:row r="141" ht="32.400001525878906" hidden="0" customHeight="1">
      <x:c r="A141" s="80" t="str">
        <x:v>MP-022</x:v>
      </x:c>
      <x:c r="B141" s="80" t="str">
        <x:v>Online match</x:v>
      </x:c>
      <x:c r="C141" s="80" t="str">
        <x:v>Client receives a state with a catalog digest different from its local E.buildCatalog(CARDS).</x:v>
      </x:c>
      <x:c r="D141" s="80" t="str">
        <x:v>As a client receives a state with a catalog digest different from its local e.buildcatalog(cards)., I can detect a catalog mismatch before a click.</x:v>
      </x:c>
      <x:c r="E141" s="80" t="str">
        <x:v>Page shows a red mismatch notice telling the player to reload a matching build before playing; server remains authoritative and would reject incompatible actions.</x:v>
      </x:c>
      <x:c r="F141" s="80" t="str">
        <x:v>/play.html and referee</x:v>
      </x:c>
      <x:c r="G141" s="80" t="str">
        <x:v>Client receives a state with a catalog digest different from its local E.buildCatalog(CARDS).</x:v>
      </x:c>
      <x:c r="H141" s="80" t="str">
        <x:v>Load the table and attempt to play.</x:v>
      </x:c>
      <x:c r="I141" s="80" t="str">
        <x:v>No named test found. MP-D04: checkCatalog only notices; dispatch still sends ACT and the UI is not disabled, contrary to its own “before the first click” comment and expected UX. Baseline whether mismatch should hard-block action.</x:v>
      </x:c>
      <x:c r="J141" s="80" t="str">
        <x:v>Not Run</x:v>
      </x:c>
      <x:c r="K141" s="80" t="str">
        <x:v>Not Run</x:v>
      </x:c>
      <x:c r="L141" s="80"/>
      <x:c r="M141" s="80"/>
      <x:c r="N141" s="80" t="str">
        <x:v>No named test found. MP-D04: checkCatalog only notices; dispatch still sends ACT and the UI is not disabled, contrary to its own “before the first click” comment and expected UX. Baseline whether mismatch should hard-block action.</x:v>
      </x:c>
      <x:c r="O141" s="80" t="str">
        <x:v>site/play.js:3492-3508; server/table.js:721-746,798-835.</x:v>
      </x:c>
    </x:row>
    <x:row r="142" ht="32.400001525878906" hidden="0" customHeight="1">
      <x:c r="A142" s="80" t="str">
        <x:v>MP-023</x:v>
      </x:c>
      <x:c r="B142" s="80" t="str">
        <x:v>Online match</x:v>
      </x:c>
      <x:c r="C142" s="80" t="str">
        <x:v>Seated player has a fresh view and live authenticated socket.</x:v>
      </x:c>
      <x:c r="D142" s="80" t="str">
        <x:v>As a seated player has a fresh view and live authenticated socket., I can dispatch one remote action and avoid duplicate clicks.</x:v>
      </x:c>
      <x:c r="E142" s="80" t="str">
        <x:v>Client sends only the action payload; while awaiting the sequence a duplicate click is ignored; disconnected action is not queued; server authenticates seat, forces deterministic at, applies engine rules and broadcasts redacted FRAME.</x:v>
      </x:c>
      <x:c r="F142" s="80" t="str">
        <x:v>/play.html and referee</x:v>
      </x:c>
      <x:c r="G142" s="80" t="str">
        <x:v>Seated player has a fresh view and live authenticated socket.</x:v>
      </x:c>
      <x:c r="H142" s="80" t="str">
        <x:v>Select a card/target and click an action button.</x:v>
      </x:c>
      <x:c r="I142" s="80" t="str">
        <x:v>tests/js/net.test.mjs “same-seq race no double commit/desync”, “duplicate ACT seq”; client tests cover target/action UI. A dropped click has no explicit toast beyond connection chip; document whether users should see “not sent”.</x:v>
      </x:c>
      <x:c r="J142" s="80" t="str">
        <x:v>Not Run</x:v>
      </x:c>
      <x:c r="K142" s="80" t="str">
        <x:v>Not Run</x:v>
      </x:c>
      <x:c r="L142" s="80"/>
      <x:c r="M142" s="80"/>
      <x:c r="N142" s="80" t="str">
        <x:v>tests/js/net.test.mjs “same-seq race no double commit/desync”, “duplicate ACT seq”; client tests cover target/action UI. A dropped click has no explicit toast beyond connection chip; document whether users should see “not sent”.</x:v>
      </x:c>
      <x:c r="O142" s="80" t="str">
        <x:v>site/play.js:95-151,3274-3362; site/net.js:668-673; server/table.js:793-900.</x:v>
      </x:c>
    </x:row>
    <x:row r="143" ht="32.400001525878906" hidden="0" customHeight="1">
      <x:c r="A143" s="80" t="str">
        <x:v>MP-024</x:v>
      </x:c>
      <x:c r="B143" s="80" t="str">
        <x:v>Online match</x:v>
      </x:c>
      <x:c r="C143" s="80" t="str">
        <x:v>Seated player clicks an unaffordable/out-of-phase/incorrect-seat action or sends malformed action.</x:v>
      </x:c>
      <x:c r="D143" s="80" t="str">
        <x:v>As a seated player clicks an unaffordable/out-of-phase/incorrect-seat action or sends malformed action., I can reject an illegal action with a fresh view.</x:v>
      </x:c>
      <x:c r="E143" s="80" t="str">
        <x:v>Client displays engine code/message/detail, clears the awaiting sequence and picking state, and replaces its view with REJECT.view; server stores a reject record but does not advance state.</x:v>
      </x:c>
      <x:c r="F143" s="80" t="str">
        <x:v>/play.html and referee</x:v>
      </x:c>
      <x:c r="G143" s="80" t="str">
        <x:v>Seated player clicks an unaffordable/out-of-phase/incorrect-seat action or sends malformed action.</x:v>
      </x:c>
      <x:c r="H143" s="80" t="str">
        <x:v>Referee applies E.apply and returns a rejection.</x:v>
      </x:c>
      <x:c r="I143" s="80" t="str">
        <x:v>tests/js/net.test.mjs “illegal action reject fresh view”, “rejected clicks free; runaway close”. Raw BAD_MESSAGE for spectators/malformed client calls is different from engine errors; UI should keep these distinctions clear.</x:v>
      </x:c>
      <x:c r="J143" s="80" t="str">
        <x:v>Not Run</x:v>
      </x:c>
      <x:c r="K143" s="80" t="str">
        <x:v>Not Run</x:v>
      </x:c>
      <x:c r="L143" s="80"/>
      <x:c r="M143" s="80"/>
      <x:c r="N143" s="80" t="str">
        <x:v>tests/js/net.test.mjs “illegal action reject fresh view”, “rejected clicks free; runaway close”. Raw BAD_MESSAGE for spectators/malformed client calls is different from engine errors; UI should keep these distinctions clear.</x:v>
      </x:c>
      <x:c r="O143" s="80" t="str">
        <x:v>server/table.js:798-835; site/net.js:465-472; site/play.js:3605-3613.</x:v>
      </x:c>
    </x:row>
    <x:row r="144" ht="32.400001525878906" hidden="0" customHeight="1">
      <x:c r="A144" s="80" t="str">
        <x:v>MP-025</x:v>
      </x:c>
      <x:c r="B144" s="80" t="str">
        <x:v>Online match</x:v>
      </x:c>
      <x:c r="C144" s="80" t="str">
        <x:v>Valid action, SQLite available.</x:v>
      </x:c>
      <x:c r="D144" s="80" t="str">
        <x:v>As a valid action, sqlite available., I can persist accepted actions atomically and preserve a public chain.</x:v>
      </x:c>
      <x:c r="E144" s="80" t="str">
        <x:v>Commit precedes in-memory state update and FRAME; a DB failure returns NOT_DURABLE with old view and no state advance. FRAME carries seq/seat/prev/stateHash/hash/publicHash but not opponent action payload.</x:v>
      </x:c>
      <x:c r="F144" s="80" t="str">
        <x:v>/play.html and referee</x:v>
      </x:c>
      <x:c r="G144" s="80" t="str">
        <x:v>Valid action, SQLite available.</x:v>
      </x:c>
      <x:c r="H144" s="80" t="str">
        <x:v>Referee writes entry/state/head in one transaction.</x:v>
      </x:c>
      <x:c r="I144" s="80" t="str">
        <x:v>tests/js/net.test.mjs “same-seq race no double commit/desync”, “full remote transcript/replays/verifies”. The chain field headHash is also used in OVER.verify.headHash; see MP-D60.</x:v>
      </x:c>
      <x:c r="J144" s="80" t="str">
        <x:v>Not Run</x:v>
      </x:c>
      <x:c r="K144" s="80" t="str">
        <x:v>Not Run</x:v>
      </x:c>
      <x:c r="L144" s="80"/>
      <x:c r="M144" s="80"/>
      <x:c r="N144" s="80" t="str">
        <x:v>tests/js/net.test.mjs “same-seq race no double commit/desync”, “full remote transcript/replays/verifies”. The chain field headHash is also used in OVER.verify.headHash; see MP-D60.</x:v>
      </x:c>
      <x:c r="O144" s="80" t="str">
        <x:v>server/table.js:837-899; server/table.js:941-976.</x:v>
      </x:c>
    </x:row>
    <x:row r="145" ht="32.400001525878906" hidden="0" customHeight="1">
      <x:c r="A145" s="80" t="str">
        <x:v>MP-026</x:v>
      </x:c>
      <x:c r="B145" s="80" t="str">
        <x:v>Online match</x:v>
      </x:c>
      <x:c r="C145" s="80" t="str">
        <x:v>Match has hidden hands/seeds/opponent actions.</x:v>
      </x:c>
      <x:c r="D145" s="80" t="str">
        <x:v>As a match has hidden hands/seeds/opponent actions., I can preserve fog of war and spectator redaction.</x:v>
      </x:c>
      <x:c r="E145" s="80" t="str">
        <x:v>E.view/E.redactEvents expose only the seat-appropriate view; spectators receive no token or private hand; live HTTP gives shallow hashes/status only. Full config/transcript is released only after match over/OVER.</x:v>
      </x:c>
      <x:c r="F145" s="80" t="str">
        <x:v>/play.html and referee</x:v>
      </x:c>
      <x:c r="G145" s="80" t="str">
        <x:v>Match has hidden hands/seeds/opponent actions.</x:v>
      </x:c>
      <x:c r="H145" s="80" t="str">
        <x:v>Seat or spectator receives STATE/FRAME/OVER; HTTP caller asks for live /api/match/:id.</x:v>
      </x:c>
      <x:c r="I145" s="80" t="str">
        <x:v>tests/js/net.test.mjs “fog of war”, “spectator counts/no shells/no action”, “full remote transcript/replays/verifies”. No explicit browser snapshot test covers that an old OVER bundle cannot be fetched before completion.</x:v>
      </x:c>
      <x:c r="J145" s="80" t="str">
        <x:v>Not Run</x:v>
      </x:c>
      <x:c r="K145" s="80" t="str">
        <x:v>Not Run</x:v>
      </x:c>
      <x:c r="L145" s="80"/>
      <x:c r="M145" s="80"/>
      <x:c r="N145" s="80" t="str">
        <x:v>tests/js/net.test.mjs “fog of war”, “spectator counts/no shells/no action”, “full remote transcript/replays/verifies”. No explicit browser snapshot test covers that an old OVER bundle cannot be fetched before completion.</x:v>
      </x:c>
      <x:c r="O145" s="80" t="str">
        <x:v>server/table.js:1-23,701-778,884-897,1836-1873.</x:v>
      </x:c>
    </x:row>
    <x:row r="146" ht="43.20000076293945" hidden="0" customHeight="1">
      <x:c r="A146" s="80" t="str">
        <x:v>MP-027</x:v>
      </x:c>
      <x:c r="B146" s="80" t="str">
        <x:v>Online match</x:v>
      </x:c>
      <x:c r="C146" s="80" t="str">
        <x:v>A client sends valid actions, rejected clicks, malformed control messages, or auth attempts.</x:v>
      </x:c>
      <x:c r="D146" s="80" t="str">
        <x:v>As a client sends valid actions, rejected clicks, malformed control messages, or auth attempts., I can separate action, reject, control and identity rate budgets.</x:v>
      </x:c>
      <x:c r="E146" s="80" t="str">
        <x:v>Accepted actions and expected rejects have separate limits; unauthenticated control/auth budgets are keyed by address, authenticated traffic by pubkey; excess traffic returns RATE_LIMITED and closes 4029 without one player's chatter closing another's socket.</x:v>
      </x:c>
      <x:c r="F146" s="80" t="str">
        <x:v>/play.html and referee</x:v>
      </x:c>
      <x:c r="G146" s="80" t="str">
        <x:v>A client sends valid actions, rejected clicks, malformed control messages, or auth attempts.</x:v>
      </x:c>
      <x:c r="H146" s="80" t="str">
        <x:v>Send messages quickly or repeatedly.</x:v>
      </x:c>
      <x:c r="I146" s="80" t="str">
        <x:v>tests/js/net.test.mjs “connection rate limit”, “rate budget reconnect/forward headers”, “one player chatter cannot close another”, “rejected clicks free; runaway close”, “unseated ACT budget”. Limits are deployment options; no UI displays remaining budget.</x:v>
      </x:c>
      <x:c r="J146" s="80" t="str">
        <x:v>Not Run</x:v>
      </x:c>
      <x:c r="K146" s="80" t="str">
        <x:v>Not Run</x:v>
      </x:c>
      <x:c r="L146" s="80"/>
      <x:c r="M146" s="80"/>
      <x:c r="N146" s="80" t="str">
        <x:v>tests/js/net.test.mjs “connection rate limit”, “rate budget reconnect/forward headers”, “one player chatter cannot close another”, “rejected clicks free; runaway close”, “unseated ACT budget”. Limits are deployment options; no UI displays remaining budget.</x:v>
      </x:c>
      <x:c r="O146" s="80" t="str">
        <x:v>server/table.js:902-937,1633-1689; site/play.js:3639-3652.</x:v>
      </x:c>
    </x:row>
    <x:row r="147" ht="43.20000076293945" hidden="0" customHeight="1">
      <x:c r="A147" s="80" t="str">
        <x:v>MP-028</x:v>
      </x:c>
      <x:c r="B147" s="80" t="str">
        <x:v>Online match</x:v>
      </x:c>
      <x:c r="C147" s="80" t="str">
        <x:v>Browser or hostile client sends bad JSON, wrong wire version, oversized payload, foreign Origin/Host, malformed URL or traversal/NUL path.</x:v>
      </x:c>
      <x:c r="D147" s="80" t="str">
        <x:v>As a browser or hostile client sends bad json, wrong wire version, oversized payload, foreign origin/host, malformed url or traversal/nul path., I can reject malformed wire/version/origin/host input safely.</x:v>
      </x:c>
      <x:c r="E147" s="80" t="str">
        <x:v>Referee rejects with 400/403/BAD_MESSAGE/BAD_VERSION, applies the right control budget, never serves traversal/private paths, and stays alive; WebSocket origin/host allowlists are exact.</x:v>
      </x:c>
      <x:c r="F147" s="80" t="str">
        <x:v>/play.html and referee</x:v>
      </x:c>
      <x:c r="G147" s="80" t="str">
        <x:v>Browser or hostile client sends bad JSON, wrong wire version, oversized payload, foreign Origin/Host, malformed URL or traversal/NUL path.</x:v>
      </x:c>
      <x:c r="H147" s="80" t="str">
        <x:v>Connect/request/send malformed input.</x:v>
      </x:c>
      <x:c r="I147" s="80" t="str">
        <x:v>tests/js/net.test.mjs covers malformed/bad-version/unknown messages, payload, same/foreign origin, DNS rebinding, NUL URL and static range/compression. The browser's generic error notice may not distinguish host misconfiguration from a hostile origin.</x:v>
      </x:c>
      <x:c r="J147" s="80" t="str">
        <x:v>Not Run</x:v>
      </x:c>
      <x:c r="K147" s="80" t="str">
        <x:v>Not Run</x:v>
      </x:c>
      <x:c r="L147" s="80"/>
      <x:c r="M147" s="80"/>
      <x:c r="N147" s="80" t="str">
        <x:v>tests/js/net.test.mjs covers malformed/bad-version/unknown messages, payload, same/foreign origin, DNS rebinding, NUL URL and static range/compression. The browser's generic error notice may not distinguish host misconfiguration from a hostile origin.</x:v>
      </x:c>
      <x:c r="O147" s="80" t="str">
        <x:v>server/table.js:1602-1701,1720-1800; site/net.js:361-365; site/play.js:3639-3652.</x:v>
      </x:c>
    </x:row>
    <x:row r="148" ht="32.400001525878906" hidden="0" customHeight="1">
      <x:c r="A148" s="80" t="str">
        <x:v>MP-029</x:v>
      </x:c>
      <x:c r="B148" s="80" t="str">
        <x:v>Online match</x:v>
      </x:c>
      <x:c r="C148" s="80" t="str">
        <x:v>SQLite database survives while process restarts</x:v>
      </x:c>
      <x:c r="D148" s="80" t="str">
        <x:v>As a sqlite database survives while process restarts, I can recover state/transcript after referee restart.</x:v>
      </x:c>
      <x:c r="E148" s="80" t="str">
        <x:v>Match row, state, head hashes, entries, seats and tokens are rebuilt; live players resume with fresh state; finished match reconstructs result/signable bytes and can still publish from STATE/OVER.</x:v>
      </x:c>
      <x:c r="F148" s="80" t="str">
        <x:v>/play.html and referee</x:v>
      </x:c>
      <x:c r="G148" s="80" t="str">
        <x:v>SQLite database survives while process restarts; match may be playing or over.</x:v>
      </x:c>
      <x:c r="H148" s="80" t="str">
        <x:v>Restart referee and reconnect/resume.</x:v>
      </x:c>
      <x:c r="I148" s="80" t="str">
        <x:v>No known defect; verify browser UX when resultContent exists but verify.ok is false (the end screen correctly warns not to trust it).</x:v>
      </x:c>
      <x:c r="J148" s="80" t="str">
        <x:v>Not Run</x:v>
      </x:c>
      <x:c r="K148" s="80" t="str">
        <x:v>Not Run</x:v>
      </x:c>
      <x:c r="L148" s="80"/>
      <x:c r="M148" s="80"/>
      <x:c r="N148" s="80" t="str">
        <x:v>No known defect; verify browser UX when resultContent exists but verify.ok is false (the end screen correctly warns not to trust it).</x:v>
      </x:c>
      <x:c r="O148" s="80" t="str">
        <x:v>server/table.js:470-615,1004-1025,1452-1522; site/play.js:3536-3553; tests/js/net.test.mjs “server killed/rebuild DB”, “finished match sign after reload/reconnect/restart”.</x:v>
      </x:c>
    </x:row>
    <x:row r="149" ht="32.400001525878906" hidden="0" customHeight="1">
      <x:c r="A149" s="80" t="str">
        <x:v>MP-030</x:v>
      </x:c>
      <x:c r="B149" s="80" t="str">
        <x:v>Online match</x:v>
      </x:c>
      <x:c r="C149" s="80" t="str">
        <x:v>Host/guest is at lobby, playing table or end screen.</x:v>
      </x:c>
      <x:c r="D149" s="80" t="str">
        <x:v>As a host/guest is at lobby, playing table or end screen., I can leave an open table, detach from a live table, or rematch.</x:v>
      </x:c>
      <x:c r="E149" s="80" t="str">
        <x:v>Explicit LEAVE removes queue; an unseated open host table is deleted and spectators are told NO_SUCH_MATCH; a playing seat is detached but preserved for reconnect; rematch leaves old match before navigating lobby. A dropped socket preserves a playing seat.</x:v>
      </x:c>
      <x:c r="F149" s="80" t="str">
        <x:v>/play.html and referee</x:v>
      </x:c>
      <x:c r="G149" s="80" t="str">
        <x:v>Host/guest is at lobby, playing table or end screen.</x:v>
      </x:c>
      <x:c r="H149" s="80" t="str">
        <x:v>Press Leave or Rematch; alternatively close socket without LEAVE.</x:v>
      </x:c>
      <x:c r="I149" s="80" t="str">
        <x:v>tests/js/net.test.mjs “LEAVE open deletes”, “LEAVE live preserves seat/transcript”; “finished not resumable”. Copy says “Leave” but does not say that a live match is not conceded; that distinction is important for player expectations.</x:v>
      </x:c>
      <x:c r="J149" s="80" t="str">
        <x:v>Not Run</x:v>
      </x:c>
      <x:c r="K149" s="80" t="str">
        <x:v>Not Run</x:v>
      </x:c>
      <x:c r="L149" s="80"/>
      <x:c r="M149" s="80"/>
      <x:c r="N149" s="80" t="str">
        <x:v>tests/js/net.test.mjs “LEAVE open deletes”, “LEAVE live preserves seat/transcript”; “finished not resumable”. Copy says “Leave” but does not say that a live match is not conceded; that distinction is important for player expectations.</x:v>
      </x:c>
      <x:c r="O149" s="80" t="str">
        <x:v>site/net.js:679-695; site/play.js:4011-4044,4051-4062; server/table.js:1394-1413,1591-1600.</x:v>
      </x:c>
    </x:row>
    <x:row r="150" ht="21.600000381469727" hidden="0" customHeight="1">
      <x:c r="A150" s="80" t="str">
        <x:v>MP-031</x:v>
      </x:c>
      <x:c r="B150" s="80" t="str">
        <x:v>Online match</x:v>
      </x:c>
      <x:c r="C150" s="80" t="str">
        <x:v>Seated player is in a playing match.</x:v>
      </x:c>
      <x:c r="D150" s="80" t="str">
        <x:v>As a seated player is in a playing match., I can concede/rug-pull ends the match.</x:v>
      </x:c>
      <x:c r="E150" s="80" t="str">
        <x:v>Engine receives CONCEDE; match ends with winner/loser/reason, result payload and transcript verification; both seats receive the closing screen. Spectators see the correct winner.</x:v>
      </x:c>
      <x:c r="F150" s="80" t="str">
        <x:v>/play.html and referee</x:v>
      </x:c>
      <x:c r="G150" s="80" t="str">
        <x:v>Seated player is in a playing match.</x:v>
      </x:c>
      <x:c r="H150" s="80" t="str">
        <x:v>Confirm the Concede/Rug pull action.</x:v>
      </x:c>
      <x:c r="I150" s="80" t="str">
        <x:v>Exact confirmation copy and whether a disconnected player can be auto-conceded are product choices; current code has no timeout auto-forfeit.</x:v>
      </x:c>
      <x:c r="J150" s="80" t="str">
        <x:v>Not Run</x:v>
      </x:c>
      <x:c r="K150" s="80" t="str">
        <x:v>Not Run</x:v>
      </x:c>
      <x:c r="L150" s="80"/>
      <x:c r="M150" s="80"/>
      <x:c r="N150" s="80" t="str">
        <x:v>Exact confirmation copy and whether a disconnected player can be auto-conceded are product choices; current code has no timeout auto-forfeit.</x:v>
      </x:c>
      <x:c r="O150" s="80" t="str">
        <x:v>site/play.js:3712-3737,4322-4335; server/table.js:847-900,1051-1084; tests/js/net.test.mjs “concede ends match both”.</x:v>
      </x:c>
    </x:row>
    <x:row r="151" ht="32.400001525878906" hidden="0" customHeight="1">
      <x:c r="A151" s="80" t="str">
        <x:v>MP-032</x:v>
      </x:c>
      <x:c r="B151" s="80" t="str">
        <x:v>Online match</x:v>
      </x:c>
      <x:c r="C151" s="80" t="str">
        <x:v>Match is over and OVER includes config/transcript/hash/result/verify.</x:v>
      </x:c>
      <x:c r="D151" s="80" t="str">
        <x:v>As a match is over and over includes config/transcript/hash/result/verify., I can verify the match independently at the closing screen.</x:v>
      </x:c>
      <x:c r="E151" s="80" t="str">
        <x:v>Referee replay verdict and browser replay verdict are both shown; disagreement is prominent and tells users not to trust the result. Stats, turns/actions, reason, stake and spectator wording render from the signed/persisted payload.</x:v>
      </x:c>
      <x:c r="F151" s="80" t="str">
        <x:v>/play.html and referee</x:v>
      </x:c>
      <x:c r="G151" s="80" t="str">
        <x:v>Match is over and OVER includes config/transcript/hash/result/verify.</x:v>
      </x:c>
      <x:c r="H151" s="80" t="str">
        <x:v>Open the end screen after live result, reload, or resume.</x:v>
      </x:c>
      <x:c r="I151" s="80" t="str">
        <x:v>tests/js/net.test.mjs “full remote transcript/replays/verifies”; client tests cover finished result. OVER.headHash versus OVER.verify.headHash remains ambiguous (MP-D60).</x:v>
      </x:c>
      <x:c r="J151" s="80" t="str">
        <x:v>Not Run</x:v>
      </x:c>
      <x:c r="K151" s="80" t="str">
        <x:v>Not Run</x:v>
      </x:c>
      <x:c r="L151" s="80"/>
      <x:c r="M151" s="80"/>
      <x:c r="N151" s="80" t="str">
        <x:v>tests/js/net.test.mjs “full remote transcript/replays/verifies”; client tests cover finished result. OVER.headHash versus OVER.verify.headHash remains ambiguous (MP-D60).</x:v>
      </x:c>
      <x:c r="O151" s="80" t="str">
        <x:v>site/play.js:3712-3762,3786-3818; server/table.js:1023-1084.</x:v>
      </x:c>
    </x:row>
    <x:row r="152" ht="43.20000076293945" hidden="0" customHeight="1">
      <x:c r="A152" s="80" t="str">
        <x:v>MP-033</x:v>
      </x:c>
      <x:c r="B152" s="80" t="str">
        <x:v>Nostr and ladder</x:v>
      </x:c>
      <x:c r="C152" s="80" t="str">
        <x:v>A seat receives playing STATE, has NIP-07, and has not announced this match.</x:v>
      </x:c>
      <x:c r="D152" s="80" t="str">
        <x:v>As a seat receives playing state, has nip-07, and has not announced this match., I can announce the start terms once per match.</x:v>
      </x:c>
      <x:c r="E152" s="80" t="str">
        <x:v>Both sign identical referee-derived kind 4600 start bytes containing players, table, ruleset/catalog and stake; relay publication is best-effort and the match continues if declined. UI says when the wager has no signed record.</x:v>
      </x:c>
      <x:c r="F152" s="80" t="str">
        <x:v>/leaderboard.html and relays</x:v>
      </x:c>
      <x:c r="G152" s="80" t="str">
        <x:v>A seat receives playing STATE, has NIP-07, and has not announced this match.</x:v>
      </x:c>
      <x:c r="H152" s="80" t="str">
        <x:v>Approve automatic start signing; seat 0 uses role invite, seat 1 accept.</x:v>
      </x:c>
      <x:c r="I152" s="80" t="str">
        <x:v>tests/js/client.test.mjs “start announcement untrusted”. MP-D06: markAnnounced is stored before the signer await (play.js:3677-3679), so declining once suppresses automatic retry for that match after reload; the nearby comments promise a retry for accidental decline only for the end result, not start. Confirm intended retry semantics.</x:v>
      </x:c>
      <x:c r="J152" s="80" t="str">
        <x:v>Not Run</x:v>
      </x:c>
      <x:c r="K152" s="80" t="str">
        <x:v>Not Run</x:v>
      </x:c>
      <x:c r="L152" s="80"/>
      <x:c r="M152" s="80"/>
      <x:c r="N152" s="80" t="str">
        <x:v>tests/js/client.test.mjs “start announcement untrusted”. MP-D06: markAnnounced is stored before the signer await (play.js:3677-3679), so declining once suppresses automatic retry for that match after reload; the nearby comments promise a retry for accidental decline only for the end result, not start. Confirm intended retry semantics.</x:v>
      </x:c>
      <x:c r="O152" s="80" t="str">
        <x:v>site/play.js:3667-3701; site/net.js:863-913; server/table.js:1533-1587.</x:v>
      </x:c>
    </x:row>
    <x:row r="153" ht="32.400001525878906" hidden="0" customHeight="1">
      <x:c r="A153" s="80" t="str">
        <x:v>MP-034</x:v>
      </x:c>
      <x:c r="B153" s="80" t="str">
        <x:v>Nostr and ladder</x:v>
      </x:c>
      <x:c r="C153" s="80" t="str">
        <x:v>Host/guest has a signed table relationship</x:v>
      </x:c>
      <x:c r="D153" s="80" t="str">
        <x:v>As a host/guest has a signed table relationship, I can publish an invite/accept handshake event.</x:v>
      </x:c>
      <x:c r="E153" s="80" t="str">
        <x:v>Event has kind 4600, role tags and expiration; the referee accepts only seated events whose pubkey equals the seat and whose id/signature recompute correctly. Relay failure does not gate the match.</x:v>
      </x:c>
      <x:c r="F153" s="80" t="str">
        <x:v>/leaderboard.html and relays</x:v>
      </x:c>
      <x:c r="G153" s="80" t="str">
        <x:v>Host/guest has a signed table relationship; event role is invite or accept.</x:v>
      </x:c>
      <x:c r="H153" s="80" t="str">
        <x:v>Sign and publish the event or submit it through the referee.</x:v>
      </x:c>
      <x:c r="I153" s="80" t="str">
        <x:v>tests/js/client.test.mjs “valid challenge signed”, malformed challenge/name tests; no focused accept-event UI test found. Accept content carries no stake, so stake agreement relies on start events.</x:v>
      </x:c>
      <x:c r="J153" s="80" t="str">
        <x:v>Not Run</x:v>
      </x:c>
      <x:c r="K153" s="80" t="str">
        <x:v>Not Run</x:v>
      </x:c>
      <x:c r="L153" s="80"/>
      <x:c r="M153" s="80"/>
      <x:c r="N153" s="80" t="str">
        <x:v>tests/js/client.test.mjs “valid challenge signed”, malformed challenge/name tests; no focused accept-event UI test found. Accept content carries no stake, so stake agreement relies on start events.</x:v>
      </x:c>
      <x:c r="O153" s="80" t="str">
        <x:v>site/net.js:804-860; site/play.js:3943-3977; server/table.js:1533-1587.</x:v>
      </x:c>
    </x:row>
    <x:row r="154" ht="43.20000076293945" hidden="0" customHeight="1">
      <x:c r="A154" s="80" t="str">
        <x:v>MP-035</x:v>
      </x:c>
      <x:c r="B154" s="80" t="str">
        <x:v>Nostr and ladder</x:v>
      </x:c>
      <x:c r="C154" s="80" t="str">
        <x:v>Match over, signed result bytes available, seated player has NIP-07.</x:v>
      </x:c>
      <x:c r="D154" s="80" t="str">
        <x:v>As a match over, signed result bytes available, seated player has nip-07., I can publish the final result and see agreement state.</x:v>
      </x:c>
      <x:c r="E154" s="80" t="str">
        <x:v>Referee verifies seat-bound kind 31600 event and stores it; client shows none, pending, confirmed for byte-identical two-seat results, or disputed for differing results. A declined signer can retry from the end screen.</x:v>
      </x:c>
      <x:c r="F154" s="80" t="str">
        <x:v>/leaderboard.html and relays</x:v>
      </x:c>
      <x:c r="G154" s="80" t="str">
        <x:v>Match over, signed result bytes available, seated player has NIP-07.</x:v>
      </x:c>
      <x:c r="H154" s="80" t="str">
        <x:v>Approve Publish result (or automatic/explicit result call); opponent does the same.</x:v>
      </x:c>
      <x:c r="I154" s="80" t="str">
        <x:v>tests/js/ladder.test.mjs covers one seat, differing winners, strangers, bystander erase, byte-identical repost and two co-signed results; tests/js/net.test.mjs covers Nostr storage/agreement. Relay publication is best-effort; users can mistake “recorded by referee” for “publicly discoverable”.</x:v>
      </x:c>
      <x:c r="J154" s="80" t="str">
        <x:v>Not Run</x:v>
      </x:c>
      <x:c r="K154" s="80" t="str">
        <x:v>Not Run</x:v>
      </x:c>
      <x:c r="L154" s="80"/>
      <x:c r="M154" s="80"/>
      <x:c r="N154" s="80" t="str">
        <x:v>tests/js/ladder.test.mjs covers one seat, differing winners, strangers, bystander erase, byte-identical repost and two co-signed results; tests/js/net.test.mjs covers Nostr storage/agreement. Relay publication is best-effort; users can mistake “recorded by referee” for “publicly discoverable”.</x:v>
      </x:c>
      <x:c r="O154" s="80" t="str">
        <x:v>site/play.js:3779-3784,3943-3985; server/table.js:1524-1587; site/net.js:924-934.</x:v>
      </x:c>
    </x:row>
    <x:row r="155" ht="32.400001525878906" hidden="0" customHeight="1">
      <x:c r="A155" s="80" t="str">
        <x:v>MP-036</x:v>
      </x:c>
      <x:c r="B155" s="80" t="str">
        <x:v>Nostr and ladder</x:v>
      </x:c>
      <x:c r="C155" s="80" t="str">
        <x:v>User has a pubkey and relays contain verified starts/results.</x:v>
      </x:c>
      <x:c r="D155" s="80" t="str">
        <x:v>As an user has a pubkey and relays contain verified starts/results., I can find unfinished matches from signed Nostr starts.</x:v>
      </x:c>
      <x:c r="E155" s="80" t="str">
        <x:v>Client verifies events, requires a valid start body/table/2 distinct players with the current key, excludes match ids with any verified result, and returns opponent/stake for rejoin.</x:v>
      </x:c>
      <x:c r="F155" s="80" t="str">
        <x:v>/leaderboard.html and relays</x:v>
      </x:c>
      <x:c r="G155" s="80" t="str">
        <x:v>User has a pubkey and relays contain verified starts/results.</x:v>
      </x:c>
      <x:c r="H155" s="80" t="str">
        <x:v>Login on a new browser and inspect active matches.</x:v>
      </x:c>
      <x:c r="I155" s="80" t="str">
        <x:v>Starts can be absent if NIP-07 signing was declined or relays unavailable; the UI should explain why a referee-known active match may not appear in Nostr discovery.</x:v>
      </x:c>
      <x:c r="J155" s="80" t="str">
        <x:v>Not Run</x:v>
      </x:c>
      <x:c r="K155" s="80" t="str">
        <x:v>Not Run</x:v>
      </x:c>
      <x:c r="L155" s="80"/>
      <x:c r="M155" s="80"/>
      <x:c r="N155" s="80" t="str">
        <x:v>Starts can be absent if NIP-07 signing was declined or relays unavailable; the UI should explain why a referee-known active match may not appear in Nostr discovery.</x:v>
      </x:c>
      <x:c r="O155" s="80" t="str">
        <x:v>site/net.js:1073-1120,1130-1142; tests/js/client.test.mjs “npub alone finds matches”, “published result over/not resumable”, “asking without identity no relay”.</x:v>
      </x:c>
    </x:row>
    <x:row r="156" ht="32.400001525878906" hidden="0" customHeight="1">
      <x:c r="A156" s="80" t="str">
        <x:v>MP-037</x:v>
      </x:c>
      <x:c r="B156" s="80" t="str">
        <x:v>Nostr and ladder</x:v>
      </x:c>
      <x:c r="C156" s="80" t="str">
        <x:v>Browser loaded schnorr.js, net.js, ladder.js</x:v>
      </x:c>
      <x:c r="D156" s="80" t="str">
        <x:v>As a browser loaded schnorr.js, net.js, ladder.js, I can fold the signed public ladder locally.</x:v>
      </x:c>
      <x:c r="E156" s="80" t="str">
        <x:v>Browser shape-checks, signature-checks, seat-binds and byte-compares both results; rejects bad/mismatched/bystander results with reasons; confirmed matches fold oldest-first into Elo/W-L/D and “sats staked” rows. It never trusts a relay or counts a single signature.</x:v>
      </x:c>
      <x:c r="F156" s="80" t="str">
        <x:v>/leaderboard.html and relays</x:v>
      </x:c>
      <x:c r="G156" s="80" t="str">
        <x:v>Browser loaded schnorr.js, net.js, ladder.js; relays return signed start/result events.</x:v>
      </x:c>
      <x:c r="H156" s="80" t="str">
        <x:v>Press Refresh ladder.</x:v>
      </x:c>
      <x:c r="I156" s="80" t="str">
        <x:v>tests/js/ladder.test.mjs covers all listed agreement/rejection cases, including strangers and replacement versions. “Sats staked” is agreed risk, not proof of payment; this is stated in the page, but the metric name can still be misunderstood (MP-046).</x:v>
      </x:c>
      <x:c r="J156" s="80" t="str">
        <x:v>Not Run</x:v>
      </x:c>
      <x:c r="K156" s="80" t="str">
        <x:v>Not Run</x:v>
      </x:c>
      <x:c r="L156" s="80"/>
      <x:c r="M156" s="80"/>
      <x:c r="N156" s="80" t="str">
        <x:v>tests/js/ladder.test.mjs covers all listed agreement/rejection cases, including strangers and replacement versions. “Sats staked” is agreed risk, not proof of payment; this is stated in the page, but the metric name can still be misunderstood (MP-046).</x:v>
      </x:c>
      <x:c r="O156" s="80" t="str">
        <x:v>site/ladder.js:1-27,54-107,111-127,129-155,167-295; site/leaderboard.html:250-284,643-740.</x:v>
      </x:c>
    </x:row>
    <x:row r="157" ht="32.400001525878906" hidden="0" customHeight="1">
      <x:c r="A157" s="80" t="str">
        <x:v>MP-038</x:v>
      </x:c>
      <x:c r="B157" s="80" t="str">
        <x:v>Nostr and ladder</x:v>
      </x:c>
      <x:c r="C157" s="80" t="str">
        <x:v>Missing verifier/transport/secure crypto/sandbox or relay timeout.</x:v>
      </x:c>
      <x:c r="D157" s="80" t="str">
        <x:v>As a missing verifier/transport/secure crypto/sandbox or relay timeout., I can explain ladder blockers and relay failure.</x:v>
      </x:c>
      <x:c r="E157" s="80" t="str">
        <x:v>Page hides unverified/empty claims and gives a sentence explaining missing scripts, insecure origin, no WebSocket, sandbox or unreachable relays; refresh is disabled only when prerequisites are impossible.</x:v>
      </x:c>
      <x:c r="F157" s="80" t="str">
        <x:v>/leaderboard.html and relays</x:v>
      </x:c>
      <x:c r="G157" s="80" t="str">
        <x:v>Missing verifier/transport/secure crypto/sandbox or relay timeout.</x:v>
      </x:c>
      <x:c r="H157" s="80" t="str">
        <x:v>Load or refresh leaderboard.</x:v>
      </x:c>
      <x:c r="I157" s="80" t="str">
        <x:v>No direct UI test found. An empty relay response and “no matches yet” are intentionally reported as indistinguishable after timeout; copy calls this out, but product may want an explicit “unreachable vs empty” diagnostic.</x:v>
      </x:c>
      <x:c r="J157" s="80" t="str">
        <x:v>Not Run</x:v>
      </x:c>
      <x:c r="K157" s="80" t="str">
        <x:v>Not Run</x:v>
      </x:c>
      <x:c r="L157" s="80"/>
      <x:c r="M157" s="80"/>
      <x:c r="N157" s="80" t="str">
        <x:v>No direct UI test found. An empty relay response and “no matches yet” are intentionally reported as indistinguishable after timeout; copy calls this out, but product may want an explicit “unreachable vs empty” diagnostic.</x:v>
      </x:c>
      <x:c r="O157" s="80" t="str">
        <x:v>site/leaderboard.html:742-844.</x:v>
      </x:c>
    </x:row>
    <x:row r="158" ht="21.600000381469727" hidden="0" customHeight="1">
      <x:c r="A158" s="80" t="str">
        <x:v>MP-039</x:v>
      </x:c>
      <x:c r="B158" s="80" t="str">
        <x:v>Nostr and ladder</x:v>
      </x:c>
      <x:c r="C158" s="80" t="str">
        <x:v>At least one ladder row rendered</x:v>
      </x:c>
      <x:c r="D158" s="80" t="str">
        <x:v>As a leaderboard visitor, I can inspect a row's full pubkey.</x:v>
      </x:c>
      <x:c r="E158" s="80" t="str">
        <x:v>Detail row toggles with full hex pubkey, confirmed-match count, turns and Elo parameters; normal tap has no accidental navigation/action.</x:v>
      </x:c>
      <x:c r="F158" s="80" t="str">
        <x:v>/leaderboard.html and relays</x:v>
      </x:c>
      <x:c r="G158" s="80" t="str">
        <x:v>At least one ladder row rendered; desktop or touch device.</x:v>
      </x:c>
      <x:c r="H158" s="80" t="str">
        <x:v>Right-click or long-press a row.</x:v>
      </x:c>
      <x:c r="I158" s="80" t="str">
        <x:v>No named UI test. Long-press timing and accessibility keyboard equivalent should be exercised manually.</x:v>
      </x:c>
      <x:c r="J158" s="80" t="str">
        <x:v>Not Run</x:v>
      </x:c>
      <x:c r="K158" s="80" t="str">
        <x:v>Not Run</x:v>
      </x:c>
      <x:c r="L158" s="80"/>
      <x:c r="M158" s="80"/>
      <x:c r="N158" s="80" t="str">
        <x:v>No named UI test. Long-press timing and accessibility keyboard equivalent should be exercised manually.</x:v>
      </x:c>
      <x:c r="O158" s="80" t="str">
        <x:v>site/leaderboard.html:537-593,705-734.</x:v>
      </x:c>
    </x:row>
    <x:row r="159" ht="32.400001525878906" hidden="0" customHeight="1">
      <x:c r="A159" s="80" t="str">
        <x:v>MP-040</x:v>
      </x:c>
      <x:c r="B159" s="80" t="str">
        <x:v>Nostr and ladder</x:v>
      </x:c>
      <x:c r="C159" s="80" t="str">
        <x:v>Leaderboard page has a reachable referee or a JSON file</x:v>
      </x:c>
      <x:c r="D159" s="80" t="str">
        <x:v>As a leaderboard page has a reachable referee or a json file, I can pull/import/sort/clear a local scratch board.</x:v>
      </x:c>
      <x:c r="E159" s="80" t="str">
        <x:v>Live match/draw/missing-pubkey/404/verification failures are explained; valid pulls are cached as local records with settledSats:0; import validates shape; sort and clear update only this browser's scratch board, not the signed ladder.</x:v>
      </x:c>
      <x:c r="F159" s="80" t="str">
        <x:v>/leaderboard.html and relays</x:v>
      </x:c>
      <x:c r="G159" s="80" t="str">
        <x:v>Leaderboard page has a reachable referee or a JSON file; local storage may be unavailable.</x:v>
      </x:c>
      <x:c r="H159" s="80" t="str">
        <x:v>Pull a finished m_... result, import an array/{results}, sort by sats won/lost/net, or clear.</x:v>
      </x:c>
      <x:c r="I159" s="80" t="str">
        <x:v>No direct UI test found. Imported records trust the local verified:true field by design for a scratch board; the page labels it local, but users could confuse it with the signed public ladder.</x:v>
      </x:c>
      <x:c r="J159" s="80" t="str">
        <x:v>Not Run</x:v>
      </x:c>
      <x:c r="K159" s="80" t="str">
        <x:v>Not Run</x:v>
      </x:c>
      <x:c r="L159" s="80"/>
      <x:c r="M159" s="80"/>
      <x:c r="N159" s="80" t="str">
        <x:v>No direct UI test found. Imported records trust the local verified:true field by design for a scratch board; the page labels it local, but users could confuse it with the signed public ladder.</x:v>
      </x:c>
      <x:c r="O159" s="80" t="str">
        <x:v>site/leaderboard.html:848-937,939-1062.</x:v>
      </x:c>
    </x:row>
    <x:row r="160" ht="32.400001525878906" hidden="0" customHeight="1">
      <x:c r="A160" s="80" t="str">
        <x:v>MP-041</x:v>
      </x:c>
      <x:c r="B160" s="80" t="str">
        <x:v>Nostr and ladder</x:v>
      </x:c>
      <x:c r="C160" s="80" t="str">
        <x:v>Staked match ended</x:v>
      </x:c>
      <x:c r="D160" s="80" t="str">
        <x:v>As a staked match ended, I can keep result settlement non-custodial.</x:v>
      </x:c>
      <x:c r="E160" s="80" t="str">
        <x:v>Winner sees “nothing held in escrow”; loser sees signed wager amount, resolves winner's verified Nostr profile lud16, receives an invoice and pays from their own wallet. Refused/failed payment cannot change result or ladder record.</x:v>
      </x:c>
      <x:c r="F160" s="80" t="str">
        <x:v>/leaderboard.html and relays</x:v>
      </x:c>
      <x:c r="G160" s="80" t="str">
        <x:v>Staked match ended; loser/winner has Nostr identities.</x:v>
      </x:c>
      <x:c r="H160" s="80" t="str">
        <x:v>Read end screen; loser clicks Pay.</x:v>
      </x:c>
      <x:c r="I160" s="80" t="str">
        <x:v>tests/js/net.test.mjs “staked match closing screen”; no real-wallet test is allowed in this audit. The site says “settled on the ladder” while also saying it does not prove payment; wording needs careful preservation.</x:v>
      </x:c>
      <x:c r="J160" s="80" t="str">
        <x:v>Not Run</x:v>
      </x:c>
      <x:c r="K160" s="80" t="str">
        <x:v>Not Run</x:v>
      </x:c>
      <x:c r="L160" s="80"/>
      <x:c r="M160" s="80"/>
      <x:c r="N160" s="80" t="str">
        <x:v>tests/js/net.test.mjs “staked match closing screen”; no real-wallet test is allowed in this audit. The site says “settled on the ladder” while also saying it does not prove payment; wording needs careful preservation.</x:v>
      </x:c>
      <x:c r="O160" s="80" t="str">
        <x:v>site/play.js:3821-3884; site/net.js:1168-1193; site/leaderboard.html:269-276.</x:v>
      </x:c>
    </x:row>
    <x:row r="161" ht="32.400001525878906" hidden="0" customHeight="1">
      <x:c r="A161" s="80" t="str">
        <x:v>MP-042</x:v>
      </x:c>
      <x:c r="B161" s="80" t="str">
        <x:v>Nostr and ladder</x:v>
      </x:c>
      <x:c r="C161" s="80" t="str">
        <x:v>Loser clicked Pay</x:v>
      </x:c>
      <x:c r="D161" s="80" t="str">
        <x:v>As a loser clicked pay, I can validate winner profile, LNURL endpoint and invoice amount.</x:v>
      </x:c>
      <x:c r="E161" s="80" t="str">
        <x:v>Invalid address, missing callback, min/max violation, non-bolt11 or mismatched nonzero amount is refused with actionable text; open-amount invoices are allowed; no payment occurs during invoice creation.</x:v>
      </x:c>
      <x:c r="F161" s="80" t="str">
        <x:v>/leaderboard.html and relays</x:v>
      </x:c>
      <x:c r="G161" s="80" t="str">
        <x:v>Loser clicked Pay; winner profile contains a syntactically valid Lightning address.</x:v>
      </x:c>
      <x:c r="H161" s="80" t="str">
        <x:v>Fetch /.well-known/lnurlp/name, enforce min/max, call callback, optionally include signed NIP-57 zap request, inspect returned bolt11 HRP.</x:v>
      </x:c>
      <x:c r="I161" s="80" t="str">
        <x:v>No named direct test found in the multiplayer suite. Invoice amount validation is intentionally only HRP-level; confirm wallets used in demo always encode exact amounts there.</x:v>
      </x:c>
      <x:c r="J161" s="80" t="str">
        <x:v>Not Run</x:v>
      </x:c>
      <x:c r="K161" s="80" t="str">
        <x:v>Not Run</x:v>
      </x:c>
      <x:c r="L161" s="80"/>
      <x:c r="M161" s="80"/>
      <x:c r="N161" s="80" t="str">
        <x:v>No named direct test found in the multiplayer suite. Invoice amount validation is intentionally only HRP-level; confirm wallets used in demo always encode exact amounts there.</x:v>
      </x:c>
      <x:c r="O161" s="80" t="str">
        <x:v>site/net.js:1175-1243,1245-1261.</x:v>
      </x:c>
    </x:row>
    <x:row r="162" ht="21.600000381469727" hidden="0" customHeight="1">
      <x:c r="A162" s="80" t="str">
        <x:v>MP-043</x:v>
      </x:c>
      <x:c r="B162" s="80" t="str">
        <x:v>Nostr and ladder</x:v>
      </x:c>
      <x:c r="C162" s="80" t="str">
        <x:v>zapInvoice returned a checked invoice.</x:v>
      </x:c>
      <x:c r="D162" s="80" t="str">
        <x:v>As a zapinvoice returned a checked invoice., I can present invoice through explicit wallet actions.</x:v>
      </x:c>
      <x:c r="E162" s="80" t="str">
        <x:v>UI says the site cannot move money, offers lightning: URI, optional explicit WebLN confirmation, copy feedback and QR if E1QR is available; failed WebLN leaves retry enabled.</x:v>
      </x:c>
      <x:c r="F162" s="80" t="str">
        <x:v>/leaderboard.html and relays</x:v>
      </x:c>
      <x:c r="G162" s="80" t="str">
        <x:v>zapInvoice returned a checked invoice.</x:v>
      </x:c>
      <x:c r="H162" s="80" t="str">
        <x:v>Open wallet link, use optional WebLN, copy invoice or scan QR.</x:v>
      </x:c>
      <x:c r="I162" s="80" t="str">
        <x:v>No automated UI test found. Clipboard permission failure is handled; QR generation failure silently omits QR, so a mobile user needs a clearly visible invoice fallback.</x:v>
      </x:c>
      <x:c r="J162" s="80" t="str">
        <x:v>Not Run</x:v>
      </x:c>
      <x:c r="K162" s="80" t="str">
        <x:v>Not Run</x:v>
      </x:c>
      <x:c r="L162" s="80"/>
      <x:c r="M162" s="80"/>
      <x:c r="N162" s="80" t="str">
        <x:v>No automated UI test found. Clipboard permission failure is handled; QR generation failure silently omits QR, so a mobile user needs a clearly visible invoice fallback.</x:v>
      </x:c>
      <x:c r="O162" s="80" t="str">
        <x:v>site/play.js:3887-3934; site/net.js:1263-1271.</x:v>
      </x:c>
    </x:row>
    <x:row r="163" ht="32.400001525878906" hidden="0" customHeight="1">
      <x:c r="A163" s="80" t="str">
        <x:v>MP-044</x:v>
      </x:c>
      <x:c r="B163" s="80" t="str">
        <x:v>Nostr and ladder</x:v>
      </x:c>
      <x:c r="C163" s="80" t="str">
        <x:v>Public result/start events and possibly NIP-57 zap receipts exist.</x:v>
      </x:c>
      <x:c r="D163" s="80" t="str">
        <x:v>As a public result/start events and possibly nip-57 zap receipts exist., I can distinguish signed stake from actual zap settlement.</x:v>
      </x:c>
      <x:c r="E163" s="80" t="str">
        <x:v>Ladder counts only the amount both seats signed at start; it must not claim the loser paid. A zap may be generated with m=matchId, but payment status is wallet/relay evidence, not referee custody.</x:v>
      </x:c>
      <x:c r="F163" s="80" t="str">
        <x:v>/leaderboard.html and relays</x:v>
      </x:c>
      <x:c r="G163" s="80" t="str">
        <x:v>Public result/start events and possibly NIP-57 zap receipts exist.</x:v>
      </x:c>
      <x:c r="H163" s="80" t="str">
        <x:v>Inspect ladder/leaderboard staked metrics.</x:v>
      </x:c>
      <x:c r="I163" s="80" t="str">
        <x:v>MP-D07: KIND_ZAP_RECEIPT=9735 is declared but never fetched or incorporated by ladder.js; docs/page correctly caveat this, but “settlement” versus “staked” terminology should be made canonical in the tracker/spec.</x:v>
      </x:c>
      <x:c r="J163" s="80" t="str">
        <x:v>Not Run</x:v>
      </x:c>
      <x:c r="K163" s="80" t="str">
        <x:v>Not Run</x:v>
      </x:c>
      <x:c r="L163" s="80"/>
      <x:c r="M163" s="80"/>
      <x:c r="N163" s="80" t="str">
        <x:v>MP-D07: KIND_ZAP_RECEIPT=9735 is declared but never fetched or incorporated by ladder.js; docs/page correctly caveat this, but “settlement” versus “staked” terminology should be made canonical in the tracker/spec.</x:v>
      </x:c>
      <x:c r="O163" s="80" t="str">
        <x:v>site/ladder.js:31-34,88-107,181-197,271-288; site/net.js:1206-1223; site/leaderboard.html:269-276.</x:v>
      </x:c>
    </x:row>
    <x:row r="164" ht="32.400001525878906" hidden="0" customHeight="1">
      <x:c r="A164" s="80" t="str">
        <x:v>MP-045</x:v>
      </x:c>
      <x:c r="B164" s="80" t="str">
        <x:v>Online services</x:v>
      </x:c>
      <x:c r="C164" s="80" t="str">
        <x:v>NutFT mint has configured LND chain access</x:v>
      </x:c>
      <x:c r="D164" s="80" t="str">
        <x:v>As a nutft mint has configured lnd chain access, I can serve a beacon commitment and resolve only the committed block.</x:v>
      </x:c>
      <x:c r="E164" s="80" t="str">
        <x:v>Target height is tip plus confirmations; known block heights/hashes are persisted; before mining returns pending/null; exact target hash resolves once observed; if chain passed an unrecorded height, it refuses to substitute a different tip and keeps sale claimable once supplied.</x:v>
      </x:c>
      <x:c r="F164" s="80" t="str">
        <x:v>server APIs</x:v>
      </x:c>
      <x:c r="G164" s="80" t="str">
        <x:v>NutFT mint has configured LND chain access; buyer requests a quote/reveal requiring confirmations &gt;= 1.</x:v>
      </x:c>
      <x:c r="H164" s="80" t="str">
        <x:v>Commit at current tip, then ask for beacon before/after target height is mined.</x:v>
      </x:c>
      <x:c r="I164" s="80" t="str">
        <x:v>No multiplayer test; NutFT mint tests should cover pending/exact/past-unrecorded paths. Buyer-facing copy must make pending beacon distinct from failed payment.</x:v>
      </x:c>
      <x:c r="J164" s="80" t="str">
        <x:v>Not Run</x:v>
      </x:c>
      <x:c r="K164" s="80" t="str">
        <x:v>Not Run</x:v>
      </x:c>
      <x:c r="L164" s="80"/>
      <x:c r="M164" s="80"/>
      <x:c r="N164" s="80" t="str">
        <x:v>No multiplayer test; NutFT mint tests should cover pending/exact/past-unrecorded paths. Buyer-facing copy must make pending beacon distinct from failed payment.</x:v>
      </x:c>
      <x:c r="O164" s="80" t="str">
        <x:v>server/beacon.js:3-24,82-139.</x:v>
      </x:c>
    </x:row>
    <x:row r="165" ht="32.400001525878906" hidden="0" customHeight="1">
      <x:c r="A165" s="80" t="str">
        <x:v>MP-046</x:v>
      </x:c>
      <x:c r="B165" s="80" t="str">
        <x:v>Online services</x:v>
      </x:c>
      <x:c r="C165" s="80" t="str">
        <x:v>Mint has a callback and fixed amount/metadata.</x:v>
      </x:c>
      <x:c r="D165" s="80" t="str">
        <x:v>As a mint has a callback and fixed amount/metadata., I can expose a fixed-price LNURL-pay request for a booster.</x:v>
      </x:c>
      <x:c r="E165" s="80" t="str">
        <x:v>LNURL bech32 decodes to callback; pay request uses equal min/max, exact metadata, commentAllowed:0; invoice description hash is SHA-256 of the exact metadata string.</x:v>
      </x:c>
      <x:c r="F165" s="80" t="str">
        <x:v>server APIs</x:v>
      </x:c>
      <x:c r="G165" s="80" t="str">
        <x:v>Mint has a callback and fixed amount/metadata.</x:v>
      </x:c>
      <x:c r="H165" s="80" t="str">
        <x:v>Wallet scans encoded LNURL and requests payment.</x:v>
      </x:c>
      <x:c r="I165" s="80" t="str">
        <x:v>NutFT test “LNURL-pay serves a scannable booster and binds description hash” covers the path. No multiplayer coupling exists; keep this story under mint/service scope, not stake settlement.</x:v>
      </x:c>
      <x:c r="J165" s="80" t="str">
        <x:v>Not Run</x:v>
      </x:c>
      <x:c r="K165" s="80" t="str">
        <x:v>Not Run</x:v>
      </x:c>
      <x:c r="L165" s="80"/>
      <x:c r="M165" s="80"/>
      <x:c r="N165" s="80" t="str">
        <x:v>NutFT test “LNURL-pay serves a scannable booster and binds description hash” covers the path. No multiplayer coupling exists; keep this story under mint/service scope, not stake settlement.</x:v>
      </x:c>
      <x:c r="O165" s="80" t="str">
        <x:v>server/lnurl.js:3-18,70-107; server/lnd.js:102-120.</x:v>
      </x:c>
    </x:row>
    <x:row r="166" ht="32.400001525878906" hidden="0" customHeight="1">
      <x:c r="A166" s="80" t="str">
        <x:v>MP-047</x:v>
      </x:c>
      <x:c r="B166" s="80" t="str">
        <x:v>Online services</x:v>
      </x:c>
      <x:c r="C166" s="80" t="str">
        <x:v>Operator supplies REST URL, invoice macaroon and TLS CA (or explicitly local insecure mode).</x:v>
      </x:c>
      <x:c r="D166" s="80" t="str">
        <x:v>As an operator supplies rest url, invoice macaroon and tls ca (or explicitly local insecure mode)., I can create/lookup LND invoices with pinned TLS.</x:v>
      </x:c>
      <x:c r="E166" s="80" t="str">
        <x:v>Config rejects missing/invalid macaroon and self-signed HTTPS without CA; requests use macaroon, timeout and pinned cert; invoice returns payment request/hash; lookup accepts only 32-byte hash and reports settled state.</x:v>
      </x:c>
      <x:c r="F166" s="80" t="str">
        <x:v>server APIs</x:v>
      </x:c>
      <x:c r="G166" s="80" t="str">
        <x:v>Operator supplies REST URL, invoice macaroon and TLS CA (or explicitly local insecure mode).</x:v>
      </x:c>
      <x:c r="H166" s="80" t="str">
        <x:v>Mint creates invoice and polls settlement.</x:v>
      </x:c>
      <x:c r="I166" s="80" t="str">
        <x:v>NutFT funding tests cover invoice/settlement; no real LND connection in this audit. Production must not expose LND_INSECURE=1 beyond throwaway regtest.</x:v>
      </x:c>
      <x:c r="J166" s="80" t="str">
        <x:v>Not Run</x:v>
      </x:c>
      <x:c r="K166" s="80" t="str">
        <x:v>Not Run</x:v>
      </x:c>
      <x:c r="L166" s="80"/>
      <x:c r="M166" s="80"/>
      <x:c r="N166" s="80" t="str">
        <x:v>NutFT funding tests cover invoice/settlement; no real LND connection in this audit. Production must not expose LND_INSECURE=1 beyond throwaway regtest.</x:v>
      </x:c>
      <x:c r="O166" s="80" t="str">
        <x:v>server/lnd.js:24-49,57-127.</x:v>
      </x:c>
    </x:row>
    <x:row r="167" ht="32.400001525878906" hidden="0" customHeight="1">
      <x:c r="A167" s="80" t="str">
        <x:v>MP-048</x:v>
      </x:c>
      <x:c r="B167" s="80" t="str">
        <x:v>Online services</x:v>
      </x:c>
      <x:c r="C167" s="80" t="str">
        <x:v>Mint configured with mock, none, lnd, or optional cashu backend.</x:v>
      </x:c>
      <x:c r="D167" s="80" t="str">
        <x:v>As a mint configured with mock, none, lnd, or optional cashu backend., I can exercise mock/none/LND/Cashu funding without confusing real money.</x:v>
      </x:c>
      <x:c r="E167" s="80" t="str">
        <x:v>none is free; mock invoice is deliberately non-bolt11-looking and virtual; mock can settle immediately/delayed/manual; LND is real; unknown backend fails fast. Backend exposes only create-invoice/is-settled surface.</x:v>
      </x:c>
      <x:c r="F167" s="80" t="str">
        <x:v>server APIs</x:v>
      </x:c>
      <x:c r="G167" s="80" t="str">
        <x:v>Mint configured with mock, none, lnd, or optional cashu backend.</x:v>
      </x:c>
      <x:c r="H167" s="80" t="str">
        <x:v>Create invoice, settle/claim, or run free demo.</x:v>
      </x:c>
      <x:c r="I167" s="80" t="str">
        <x:v>NutFT tests cover paid mint unpaid/settled, staging virtual sats and double-claim. Ensure the leaderboard/stake UI never presents lnbcmock as a wallet-payable invoice.</x:v>
      </x:c>
      <x:c r="J167" s="80" t="str">
        <x:v>Not Run</x:v>
      </x:c>
      <x:c r="K167" s="80" t="str">
        <x:v>Not Run</x:v>
      </x:c>
      <x:c r="L167" s="80"/>
      <x:c r="M167" s="80"/>
      <x:c r="N167" s="80" t="str">
        <x:v>NutFT tests cover paid mint unpaid/settled, staging virtual sats and double-claim. Ensure the leaderboard/stake UI never presents lnbcmock as a wallet-payable invoice.</x:v>
      </x:c>
      <x:c r="O167" s="80" t="str">
        <x:v>server/funding.js:3-84.</x:v>
      </x:c>
    </x:row>
    <x:row r="168" ht="32.400001525878906" hidden="0" customHeight="1">
      <x:c r="A168" s="80" t="str">
        <x:v>MP-049</x:v>
      </x:c>
      <x:c r="B168" s="80" t="str">
        <x:v>Online services</x:v>
      </x:c>
      <x:c r="C168" s="80" t="str">
        <x:v>Early-access/allowlisted HTTP route requires NIP-98</x:v>
      </x:c>
      <x:c r="D168" s="80" t="str">
        <x:v>As an early-access/allowlisted http route requires nip-98, I can prove an allowlisted NutFT buyer key with NIP-98.</x:v>
      </x:c>
      <x:c r="E168" s="80" t="str">
        <x:v>Server verifies kind/pubkey/id/signature, fresh timestamp, exactly one matching method and absolute u path/optional host, and one-use replay store; invalid/replayed/full-store requests fail.</x:v>
      </x:c>
      <x:c r="F168" s="80" t="str">
        <x:v>server APIs</x:v>
      </x:c>
      <x:c r="G168" s="80" t="str">
        <x:v>Early-access/allowlisted HTTP route requires NIP-98; buyer holds NIP-07/private key.</x:v>
      </x:c>
      <x:c r="H168" s="80" t="str">
        <x:v>Send Authorization: Nostr &lt;base64 kind 27235&gt; with method/url/time tags.</x:v>
      </x:c>
      <x:c r="I168" s="80" t="str">
        <x:v>NutFT tests cover NIP-98 allowlist/replay/endpoint binding. User-facing multiplayer does not call this module; document it as mint access control, not table auth (table uses NIP-42).</x:v>
      </x:c>
      <x:c r="J168" s="80" t="str">
        <x:v>Not Run</x:v>
      </x:c>
      <x:c r="K168" s="80" t="str">
        <x:v>Not Run</x:v>
      </x:c>
      <x:c r="L168" s="80"/>
      <x:c r="M168" s="80"/>
      <x:c r="N168" s="80" t="str">
        <x:v>NutFT tests cover NIP-98 allowlist/replay/endpoint binding. User-facing multiplayer does not call this module; document it as mint access control, not table auth (table uses NIP-42).</x:v>
      </x:c>
      <x:c r="O168" s="80" t="str">
        <x:v>server/nip98.js:3-27,52-129.</x:v>
      </x:c>
    </x:row>
    <x:row r="169" ht="32.400001525878906" hidden="0" customHeight="1">
      <x:c r="A169" s="80" t="str">
        <x:v>MP-050</x:v>
      </x:c>
      <x:c r="B169" s="80" t="str">
        <x:v>Online services</x:v>
      </x:c>
      <x:c r="C169" s="80" t="str">
        <x:v>User or leaderboard calls referee HTTP endpoints.</x:v>
      </x:c>
      <x:c r="D169" s="80" t="str">
        <x:v>As an user or leaderboard calls referee http endpoints., I can keep live match HTTP data shallow and static assets safe.</x:v>
      </x:c>
      <x:c r="E169" s="80" t="str">
        <x:v>Health reports match/queue count; tables list open rows; live match gives only status/head/public hashes; over match gives verification bundle; CORS is exact; static paths reject traversal/NUL and serve correct MIME, compression, ETag/range.</x:v>
      </x:c>
      <x:c r="F169" s="80" t="str">
        <x:v>server APIs</x:v>
      </x:c>
      <x:c r="G169" s="80" t="str">
        <x:v>User or leaderboard calls referee HTTP endpoints.</x:v>
      </x:c>
      <x:c r="H169" s="80" t="str">
        <x:v>Ask /api/health, /api/tables, /api/match/:id, or static asset/video paths.</x:v>
      </x:c>
      <x:c r="I169" s="80" t="str">
        <x:v>tests/js/net.test.mjs covers health/list/live match, CORS/preflight, compression/etag, binaries/range and URL guards. /api/match/:id accepts any id-shaped path after the prefix; product may want stricter m_[0-9a-f]{12} validation for clearer 400 vs 404.</x:v>
      </x:c>
      <x:c r="J169" s="80" t="str">
        <x:v>Not Run</x:v>
      </x:c>
      <x:c r="K169" s="80" t="str">
        <x:v>Not Run</x:v>
      </x:c>
      <x:c r="L169" s="80"/>
      <x:c r="M169" s="80"/>
      <x:c r="N169" s="80" t="str">
        <x:v>tests/js/net.test.mjs covers health/list/live match, CORS/preflight, compression/etag, binaries/range and URL guards. /api/match/:id accepts any id-shaped path after the prefix; product may want stricter m_[0-9a-f]{12} validation for clearer 400 vs 404.</x:v>
      </x:c>
      <x:c r="O169" s="80" t="str">
        <x:v>server/table.js:1745-1873 and static-serving continuation server/table.js:1876-2016.</x:v>
      </x:c>
    </x:row>
    <x:row r="170" ht="32.400001525878906" hidden="0" customHeight="1">
      <x:c r="A170" s="80" t="str">
        <x:v>MP-051</x:v>
      </x:c>
      <x:c r="B170" s="80" t="str">
        <x:v>Online services</x:v>
      </x:c>
      <x:c r="C170" s="80" t="str">
        <x:v>Referee configured with PUBLIC_HOST/TLS/allowed origins</x:v>
      </x:c>
      <x:c r="D170" s="80" t="str">
        <x:v>As a referee configured with public_host/tls/allowed origins, I can advertise a reachable public referee URL.</x:v>
      </x:c>
      <x:c r="E170" s="80" t="str">
        <x:v>State advertises a validated ws:///wss:// URL; client refuses loopback invite publication and tells host to configure public host/Tailscale; cross-origin HTTP/WebSocket only works for explicit origins.</x:v>
      </x:c>
      <x:c r="F170" s="80" t="str">
        <x:v>server APIs</x:v>
      </x:c>
      <x:c r="G170" s="80" t="str">
        <x:v>Referee configured with PUBLIC_HOST/TLS/allowed origins; host may otherwise be localhost.</x:v>
      </x:c>
      <x:c r="H170" s="80" t="str">
        <x:v>Open lobby and publish/share invite.</x:v>
      </x:c>
      <x:c r="I170" s="80" t="str">
        <x:v>tests/js/net.test.mjs covers TLS advertised URL, invalid public URL, DNS rebinding and CORS. Error copy assumes Tailscale; deployment docs should name the supported public-host options generally.</x:v>
      </x:c>
      <x:c r="J170" s="80" t="str">
        <x:v>Not Run</x:v>
      </x:c>
      <x:c r="K170" s="80" t="str">
        <x:v>Not Run</x:v>
      </x:c>
      <x:c r="L170" s="80"/>
      <x:c r="M170" s="80"/>
      <x:c r="N170" s="80" t="str">
        <x:v>tests/js/net.test.mjs covers TLS advertised URL, invalid public URL, DNS rebinding and CORS. Error copy assumes Tailscale; deployment docs should name the supported public-host options generally.</x:v>
      </x:c>
      <x:c r="O170" s="80" t="str">
        <x:v>server/table.js:202-340,2002-2016; site/net.js:298-310; site/matchmaking.js:354-360.</x:v>
      </x:c>
    </x:row>
    <x:row r="171" ht="32.400001525878906" hidden="0" customHeight="1">
      <x:c r="A171" s="80" t="str">
        <x:v>MP-052</x:v>
      </x:c>
      <x:c r="B171" s="80" t="str">
        <x:v>Online services</x:v>
      </x:c>
      <x:c r="C171" s="80" t="str">
        <x:v>Host/guest enters a stake</x:v>
      </x:c>
      <x:c r="D171" s="80" t="str">
        <x:v>As a host/guest enters a stake, I can bound stake input, table economics and no escrow.</x:v>
      </x:c>
      <x:c r="E171" s="80" t="str">
        <x:v>Client sanitizes positive finite whole sats; server treats invalid/nonpositive as friendly and caps valid stake at 1,000,000; queue pairs equal stake; join rejects changed acknowledged stake; the referee never escrows, refunds or enforces payment.</x:v>
      </x:c>
      <x:c r="F171" s="80" t="str">
        <x:v>server APIs</x:v>
      </x:c>
      <x:c r="G171" s="80" t="str">
        <x:v>Host/guest enters a stake; table creates/queues/pairs.</x:v>
      </x:c>
      <x:c r="H171" s="80" t="str">
        <x:v>Submit zero, negative, fractional, huge or matching integer sats.</x:v>
      </x:c>
      <x:c r="I171" s="80" t="str">
        <x:v>tests/js/net.test.mjs covers stake integer, queue wager match, staked closing screen and restart. The client input says “Play for sats” but does not show the one-million cap; expose cap before users type a value.</x:v>
      </x:c>
      <x:c r="J171" s="80" t="str">
        <x:v>Not Run</x:v>
      </x:c>
      <x:c r="K171" s="80" t="str">
        <x:v>Not Run</x:v>
      </x:c>
      <x:c r="L171" s="80"/>
      <x:c r="M171" s="80"/>
      <x:c r="N171" s="80" t="str">
        <x:v>tests/js/net.test.mjs covers stake integer, queue wager match, staked closing screen and restart. The client input says “Play for sats” but does not show the one-million cap; expose cap before users type a value.</x:v>
      </x:c>
      <x:c r="O171" s="80" t="str">
        <x:v>site/net.js:99-111,552-568,582-602,612-631; server/table.js:1088-1100,1205-1212,1326-1342; site/play.js:3821-3847.</x:v>
      </x:c>
    </x:row>
    <x:row r="172" ht="32.400001525878906" hidden="0" customHeight="1">
      <x:c r="A172" s="80" t="str">
        <x:v>MP-053</x:v>
      </x:c>
      <x:c r="B172" s="80" t="str">
        <x:v>Online services</x:v>
      </x:c>
      <x:c r="C172" s="80" t="str">
        <x:v>Seat publishes invite/accept/result</x:v>
      </x:c>
      <x:c r="D172" s="80" t="str">
        <x:v>As a seat publishes invite/accept/result, I can keep identity-bound events and game events separate.</x:v>
      </x:c>
      <x:c r="E172" s="80" t="str">
        <x:v>Referee allows only seated identities, event pubkey equal to that seat, recomputed id and valid Schnorr signature; spectators and pre-OVER results are rejected; no unverified event affects agreement.</x:v>
      </x:c>
      <x:c r="F172" s="80" t="str">
        <x:v>server APIs</x:v>
      </x:c>
      <x:c r="G172" s="80" t="str">
        <x:v>Seat publishes invite/accept/result; spectator/stranger attempts to publish.</x:v>
      </x:c>
      <x:c r="H172" s="80" t="str">
        <x:v>Send NOSTR event with mismatched role/pubkey/id/signature/status.</x:v>
      </x:c>
      <x:c r="I172" s="80" t="str">
        <x:v>tests/js/net.test.mjs “Nostr events stored/agreement query”, “identity required/bound”, “finished match sign after reload/reconnect/restart”. A bystander can still publish a valid event to relays; only local/referee/ladder filters prevent it from counting.</x:v>
      </x:c>
      <x:c r="J172" s="80" t="str">
        <x:v>Not Run</x:v>
      </x:c>
      <x:c r="K172" s="80" t="str">
        <x:v>Not Run</x:v>
      </x:c>
      <x:c r="L172" s="80"/>
      <x:c r="M172" s="80"/>
      <x:c r="N172" s="80" t="str">
        <x:v>tests/js/net.test.mjs “Nostr events stored/agreement query”, “identity required/bound”, “finished match sign after reload/reconnect/restart”. A bystander can still publish a valid event to relays; only local/referee/ladder filters prevent it from counting.</x:v>
      </x:c>
      <x:c r="O172" s="80" t="str">
        <x:v>server/table.js:1524-1587; site/schnorr.js:243-317; site/net.js:1130-1142.</x:v>
      </x:c>
    </x:row>
    <x:row r="173" ht="32.400001525878906" hidden="0" customHeight="1">
      <x:c r="A173" s="80" t="str">
        <x:v>MP-054</x:v>
      </x:c>
      <x:c r="B173" s="80" t="str">
        <x:v>Online services</x:v>
      </x:c>
      <x:c r="C173" s="80" t="str">
        <x:v>Client/referee speak WIRE=1.</x:v>
      </x:c>
      <x:c r="D173" s="80" t="str">
        <x:v>As a client/referee speak wire=1., I can run the protocol at the declared wire version.</x:v>
      </x:c>
      <x:c r="E173" s="80" t="str">
        <x:v>Every message has v:1; unknown/bad versions are rejected and rate-limited; all client handlers route STATE/FRAME/REJECT/PEER/QUEUED/OVER/NOSTR/ERROR without silently accepting another protocol.</x:v>
      </x:c>
      <x:c r="F173" s="80" t="str">
        <x:v>server APIs</x:v>
      </x:c>
      <x:c r="G173" s="80" t="str">
        <x:v>Client/referee speak WIRE=1.</x:v>
      </x:c>
      <x:c r="H173" s="80" t="str">
        <x:v>Connect, authenticate, CREATE/JOIN/QUEUE/ACT/RESUME/NOSTR/LEAVE, receive all server message types.</x:v>
      </x:c>
      <x:c r="I173" s="80" t="str">
        <x:v>tests/js/net.test.mjs “malformed/bad-version/unknown share address budget”. Protocol docs should be versioned alongside the canonical workbook when wire v2 is introduced.</x:v>
      </x:c>
      <x:c r="J173" s="80" t="str">
        <x:v>Not Run</x:v>
      </x:c>
      <x:c r="K173" s="80" t="str">
        <x:v>Not Run</x:v>
      </x:c>
      <x:c r="L173" s="80"/>
      <x:c r="M173" s="80"/>
      <x:c r="N173" s="80" t="str">
        <x:v>tests/js/net.test.mjs “malformed/bad-version/unknown share address budget”. Protocol docs should be versioned alongside the canonical workbook when wire v2 is introduced.</x:v>
      </x:c>
      <x:c r="O173" s="80" t="str">
        <x:v>site/net.js:19-28,361-489; server/table.js:42-66,1654-1688; docs/net-protocol.md sections 0–9.</x:v>
      </x:c>
    </x:row>
    <x:row r="174" ht="43.20000076293945" hidden="0" customHeight="1">
      <x:c r="A174" s="80" t="str">
        <x:v>MP-055</x:v>
      </x:c>
      <x:c r="B174" s="80" t="str">
        <x:v>Online services</x:v>
      </x:c>
      <x:c r="C174" s="80" t="str">
        <x:v>User selects NutFT-owned cards for a custom Stack.</x:v>
      </x:c>
      <x:c r="D174" s="80" t="str">
        <x:v>As an user selects nutft-owned cards for a custom stack., I can preserve immutable NutFT card identity through multiplayer setup.</x:v>
      </x:c>
      <x:c r="E174" s="80" t="str">
        <x:v>One owned proof/card identity remains the selected card; setup does not execute arbitrary catalog code or accept metadata-only substitutes; unavailable cards fail before a game starts.</x:v>
      </x:c>
      <x:c r="F174" s="80" t="str">
        <x:v>server APIs</x:v>
      </x:c>
      <x:c r="G174" s="80" t="str">
        <x:v>User selects NutFT-owned cards for a custom Stack.</x:v>
      </x:c>
      <x:c r="H174" s="80" t="str">
        <x:v>Wallet possession check and referee deck validation run before dealing.</x:v>
      </x:c>
      <x:c r="I174" s="80" t="str">
        <x:v>This is a cross-surface acceptance story; existing NutFT tests cover ownership/invalid Stack, while net.test.mjs covers referee rejection. The multiplayer server currently sees card ids, not proofs; wallet proof validation is a separate mint/wallet boundary and must not be implied by the table.</x:v>
      </x:c>
      <x:c r="J174" s="80" t="str">
        <x:v>Not Run</x:v>
      </x:c>
      <x:c r="K174" s="80" t="str">
        <x:v>Not Run</x:v>
      </x:c>
      <x:c r="L174" s="80"/>
      <x:c r="M174" s="80"/>
      <x:c r="N174" s="80" t="str">
        <x:v>This is a cross-surface acceptance story; existing NutFT tests cover ownership/invalid Stack, while net.test.mjs covers referee rejection. The multiplayer server currently sees card ids, not proofs; wallet proof validation is a separate mint/wallet boundary and must not be implied by the table.</x:v>
      </x:c>
      <x:c r="O174" s="80" t="str">
        <x:v>docs/demo-spec.md NUT-31/card proof, issuance and atomic replacement sections; 31.md capability/binding/error sections; site/play.js:4088-4105; server/table.js:1102-1132.</x:v>
      </x:c>
    </x:row>
    <x:row r="175" ht="15" hidden="0" customHeight="1">
      <x:c r="A175" s="80" t="str">
        <x:v>NUTFT-001</x:v>
      </x:c>
      <x:c r="B175" s="80" t="str">
        <x:v>Shop</x:v>
      </x:c>
      <x:c r="C175" s="80" t="str">
        <x:v>Visitor</x:v>
      </x:c>
      <x:c r="D175" s="80" t="str">
        <x:v>As a visitor, I can open a free demo pack.</x:v>
      </x:c>
      <x:c r="E175" s="80" t="str">
        <x:v>Click Open a pack. The demo takes the next five</x:v>
      </x:c>
      <x:c r="F175" s="80" t="str">
        <x:v>/shop.html</x:v>
      </x:c>
      <x:c r="G175" s="80" t="str">
        <x:v>Visitor; /shop.html with no ?shop=mint, or a</x:v>
      </x:c>
      <x:c r="H175" s="80" t="str">
        <x:v>Click Open a pack</x:v>
      </x:c>
      <x:c r="I175" s="80" t="str">
        <x:v>No direct browser story test found; generated E1 data</x:v>
      </x:c>
      <x:c r="J175" s="80" t="str">
        <x:v>Not Run</x:v>
      </x:c>
      <x:c r="K175" s="80" t="str">
        <x:v>Not Run</x:v>
      </x:c>
      <x:c r="L175" s="80"/>
      <x:c r="M175" s="80"/>
      <x:c r="N175" s="80" t="str">
        <x:v>Observed. The mint call ignores the requested demo</x:v>
      </x:c>
      <x:c r="O175" s="80" t="str">
        <x:v>site/shop.js:91-123,219-243,908-938;</x:v>
      </x:c>
    </x:row>
    <x:row r="176" ht="21.600000381469727" hidden="0" customHeight="1">
      <x:c r="A176" s="80" t="str">
        <x:v>NUTFT-002</x:v>
      </x:c>
      <x:c r="B176" s="80" t="str">
        <x:v>Shop</x:v>
      </x:c>
      <x:c r="C176" s="80" t="str">
        <x:v>Visitor with storage available</x:v>
      </x:c>
      <x:c r="D176" s="80" t="str">
        <x:v>As a visitor with storage available, I can keep demo progress across reloads.</x:v>
      </x:c>
      <x:c r="E176" s="80" t="str">
        <x:v>Reload the shop. Cursor, pack count, pull history, and</x:v>
      </x:c>
      <x:c r="F176" s="80" t="str">
        <x:v>/shop.html</x:v>
      </x:c>
      <x:c r="G176" s="80" t="str">
        <x:v>Visitor with storage available; one or more demo</x:v>
      </x:c>
      <x:c r="H176" s="80" t="str">
        <x:v>Reload the shop</x:v>
      </x:c>
      <x:c r="I176" s="80" t="str">
        <x:v>Storage abstraction is shared with E1 tests but no</x:v>
      </x:c>
      <x:c r="J176" s="80" t="str">
        <x:v>Not Run</x:v>
      </x:c>
      <x:c r="K176" s="80" t="str">
        <x:v>Not Run</x:v>
      </x:c>
      <x:c r="L176" s="80"/>
      <x:c r="M176" s="80"/>
      <x:c r="N176" s="80" t="str">
        <x:v>Observed; suspected hostile/corrupt-storage UX defect.</x:v>
      </x:c>
      <x:c r="O176" s="80" t="str">
        <x:v>site/shop.js:59-87,123-185,198-213,944-960.</x:v>
      </x:c>
    </x:row>
    <x:row r="177" ht="21.600000381469727" hidden="0" customHeight="1">
      <x:c r="A177" s="80" t="str">
        <x:v>NUTFT-003</x:v>
      </x:c>
      <x:c r="B177" s="80" t="str">
        <x:v>Shop</x:v>
      </x:c>
      <x:c r="C177" s="80" t="str">
        <x:v>Visitor with an opened demo box.</x:v>
      </x:c>
      <x:c r="D177" s="80" t="str">
        <x:v>As a visitor with an opened demo box., I can empty/reset a demo box safely.</x:v>
      </x:c>
      <x:c r="E177" s="80" t="str">
        <x:v>Click Reset box, confirm, then see an empty fresh</x:v>
      </x:c>
      <x:c r="F177" s="80" t="str">
        <x:v>/shop.html</x:v>
      </x:c>
      <x:c r="G177" s="80" t="str">
        <x:v>Visitor with an opened demo box.</x:v>
      </x:c>
      <x:c r="H177" s="80" t="str">
        <x:v>Click Reset box, confirm, then see an empty fresh</x:v>
      </x:c>
      <x:c r="I177" s="80" t="str">
        <x:v>No direct UI test; the reset is local-only in demo</x:v>
      </x:c>
      <x:c r="J177" s="80" t="str">
        <x:v>Not Run</x:v>
      </x:c>
      <x:c r="K177" s="80" t="str">
        <x:v>Not Run</x:v>
      </x:c>
      <x:c r="L177" s="80"/>
      <x:c r="M177" s="80"/>
      <x:c r="N177" s="80" t="str">
        <x:v>Observed; add a test for cancel, persistence failure,</x:v>
      </x:c>
      <x:c r="O177" s="80" t="str">
        <x:v>site/shop.js:908-938,1007-1016; site/shop.html:381-383.</x:v>
      </x:c>
    </x:row>
    <x:row r="178" ht="21.600000381469727" hidden="0" customHeight="1">
      <x:c r="A178" s="80" t="str">
        <x:v>NUTFT-004</x:v>
      </x:c>
      <x:c r="B178" s="80" t="str">
        <x:v>Shop</x:v>
      </x:c>
      <x:c r="C178" s="80" t="str">
        <x:v>Visitor loads the shop in demo or mint mode.</x:v>
      </x:c>
      <x:c r="D178" s="80" t="str">
        <x:v>As a visitor loads the shop in demo or mint mode., I can read box facts and mode disclosure.</x:v>
      </x:c>
      <x:c r="E178" s="80" t="str">
        <x:v>The page identifies the collection, pack size,</x:v>
      </x:c>
      <x:c r="F178" s="80" t="str">
        <x:v>/shop.html</x:v>
      </x:c>
      <x:c r="G178" s="80" t="str">
        <x:v>Visitor loads the shop in demo or mint mode.</x:v>
      </x:c>
      <x:c r="H178" s="80" t="str">
        <x:v>The page identifies the collection, pack size,</x:v>
      </x:c>
      <x:c r="I178" s="80" t="str">
        <x:v>docs/demo-spec.md:46-88 calls payment out of scope</x:v>
      </x:c>
      <x:c r="J178" s="80" t="str">
        <x:v>Not Run</x:v>
      </x:c>
      <x:c r="K178" s="80" t="str">
        <x:v>Not Run</x:v>
      </x:c>
      <x:c r="L178" s="80"/>
      <x:c r="M178" s="80"/>
      <x:c r="N178" s="80" t="str">
        <x:v>Suspected UX/logistics defect: paid/free disclosure is</x:v>
      </x:c>
      <x:c r="O178" s="80" t="str">
        <x:v>site/shop.html:342-372; site/shop.js:854-906.</x:v>
      </x:c>
    </x:row>
    <x:row r="179" ht="21.600000381469727" hidden="0" customHeight="1">
      <x:c r="A179" s="80" t="str">
        <x:v>NUTFT-005</x:v>
      </x:c>
      <x:c r="B179" s="80" t="str">
        <x:v>Shop</x:v>
      </x:c>
      <x:c r="C179" s="80" t="str">
        <x:v>Visitor with Web Crypto</x:v>
      </x:c>
      <x:c r="D179" s="80" t="str">
        <x:v>As a visitor with web crypto, I can verify and copy the published commitment.</x:v>
      </x:c>
      <x:c r="E179" s="80" t="str">
        <x:v>Click Verify. Matching card IDs plus the zero-byte</x:v>
      </x:c>
      <x:c r="F179" s="80" t="str">
        <x:v>/shop.html</x:v>
      </x:c>
      <x:c r="G179" s="80" t="str">
        <x:v>Visitor with Web Crypto; static E1 box loaded.</x:v>
      </x:c>
      <x:c r="H179" s="80" t="str">
        <x:v>Click Verify</x:v>
      </x:c>
      <x:c r="I179" s="80" t="str">
        <x:v>tests/test_build_shop_data.py:28-55 covers generated</x:v>
      </x:c>
      <x:c r="J179" s="80" t="str">
        <x:v>Not Run</x:v>
      </x:c>
      <x:c r="K179" s="80" t="str">
        <x:v>Not Run</x:v>
      </x:c>
      <x:c r="L179" s="80"/>
      <x:c r="M179" s="80"/>
      <x:c r="N179" s="80" t="str">
        <x:v>Observed. The algorithm is documented as SHA-256 IDs</x:v>
      </x:c>
      <x:c r="O179" s="80" t="str">
        <x:v>site/shop.js:752-769,1027-1065; site/shop.html:429-440.</x:v>
      </x:c>
    </x:row>
    <x:row r="180" ht="21.600000381469727" hidden="0" customHeight="1">
      <x:c r="A180" s="80" t="str">
        <x:v>NUTFT-006</x:v>
      </x:c>
      <x:c r="B180" s="80" t="str">
        <x:v>Shop</x:v>
      </x:c>
      <x:c r="C180" s="80" t="str">
        <x:v>A pack has been dealt</x:v>
      </x:c>
      <x:c r="D180" s="80" t="str">
        <x:v>As a pack has been dealt, I can reveal, skip, reduced-motion, and dismiss a pack.</x:v>
      </x:c>
      <x:c r="E180" s="80" t="str">
        <x:v>Cards reveal in rarity order with the die/stage; the</x:v>
      </x:c>
      <x:c r="F180" s="80" t="str">
        <x:v>/shop.html</x:v>
      </x:c>
      <x:c r="G180" s="80" t="str">
        <x:v>A pack has been dealt; pointer/keyboard or</x:v>
      </x:c>
      <x:c r="H180" s="80" t="str">
        <x:v>Cards reveal in rarity order with the die/stage; the</x:v>
      </x:c>
      <x:c r="I180" s="80" t="str">
        <x:v>No browser test found. An early click is supposed to</x:v>
      </x:c>
      <x:c r="J180" s="80" t="str">
        <x:v>Not Run</x:v>
      </x:c>
      <x:c r="K180" s="80" t="str">
        <x:v>Not Run</x:v>
      </x:c>
      <x:c r="L180" s="80"/>
      <x:c r="M180" s="80"/>
      <x:c r="N180" s="80" t="str">
        <x:v>Observed; test for rapid double click, Escape before</x:v>
      </x:c>
      <x:c r="O180" s="80" t="str">
        <x:v>site/shop.js:471-594; site/shop.html:375-383; CSS/reveal hooks</x:v>
      </x:c>
    </x:row>
    <x:row r="181" ht="21.600000381469727" hidden="0" customHeight="1">
      <x:c r="A181" s="80" t="str">
        <x:v>NUTFT-007</x:v>
      </x:c>
      <x:c r="B181" s="80" t="str">
        <x:v>Shop</x:v>
      </x:c>
      <x:c r="C181" s="80" t="str">
        <x:v>A revealed card exists in the tray/collection.</x:v>
      </x:c>
      <x:c r="D181" s="80" t="str">
        <x:v>As a collector, I can inspect a revealed card or send it to Stack Builder.</x:v>
      </x:c>
      <x:c r="E181" s="80" t="str">
        <x:v>Left click/tap or Enter/Space flips a face-down card</x:v>
      </x:c>
      <x:c r="F181" s="80" t="str">
        <x:v>/shop.html</x:v>
      </x:c>
      <x:c r="G181" s="80" t="str">
        <x:v>A revealed card exists in the tray/collection.</x:v>
      </x:c>
      <x:c r="H181" s="80" t="str">
        <x:v>Left click/tap or Enter/Space flips a face-down card</x:v>
      </x:c>
      <x:c r="I181" s="80" t="str">
        <x:v>No browser interaction test found. A hold is 420 ms</x:v>
      </x:c>
      <x:c r="J181" s="80" t="str">
        <x:v>Not Run</x:v>
      </x:c>
      <x:c r="K181" s="80" t="str">
        <x:v>Not Run</x:v>
      </x:c>
      <x:c r="L181" s="80"/>
      <x:c r="M181" s="80"/>
      <x:c r="N181" s="80" t="str">
        <x:v>Observed; context-menu/long-press behavior is browser</x:v>
      </x:c>
      <x:c r="O181" s="80" t="str">
        <x:v>site/shop.js:268-376,378-407; site/shop.html:397-400.</x:v>
      </x:c>
    </x:row>
    <x:row r="182" ht="21.600000381469727" hidden="0" customHeight="1">
      <x:c r="A182" s="80" t="str">
        <x:v>NUTFT-008</x:v>
      </x:c>
      <x:c r="B182" s="80" t="str">
        <x:v>Shop</x:v>
      </x:c>
      <x:c r="C182" s="80" t="str">
        <x:v>Visitor has zero, one, or duplicate cards.</x:v>
      </x:c>
      <x:c r="D182" s="80" t="str">
        <x:v>As a visitor has zero, one, or duplicate cards., I can review collection and pull history.</x:v>
      </x:c>
      <x:c r="E182" s="80" t="str">
        <x:v>Collection shows total opened, unique cards, and</x:v>
      </x:c>
      <x:c r="F182" s="80" t="str">
        <x:v>/shop.html</x:v>
      </x:c>
      <x:c r="G182" s="80" t="str">
        <x:v>Visitor has zero, one, or duplicate cards.</x:v>
      </x:c>
      <x:c r="H182" s="80" t="str">
        <x:v>Collection shows total opened, unique cards, and</x:v>
      </x:c>
      <x:c r="I182" s="80" t="str">
        <x:v>No direct DOM test. renderHistory assumes every</x:v>
      </x:c>
      <x:c r="J182" s="80" t="str">
        <x:v>Not Run</x:v>
      </x:c>
      <x:c r="K182" s="80" t="str">
        <x:v>Not Run</x:v>
      </x:c>
      <x:c r="L182" s="80"/>
      <x:c r="M182" s="80"/>
      <x:c r="N182" s="80" t="str">
        <x:v>Suspected UX defect: corrupt one-entry history is not</x:v>
      </x:c>
      <x:c r="O182" s="80" t="str">
        <x:v>site/shop.js:673-745; site/shop.html:444-479.</x:v>
      </x:c>
    </x:row>
    <x:row r="183" ht="21.600000381469727" hidden="0" customHeight="1">
      <x:c r="A183" s="80" t="str">
        <x:v>NUTFT-009</x:v>
      </x:c>
      <x:c r="B183" s="80" t="str">
        <x:v>Shop</x:v>
      </x:c>
      <x:c r="C183" s="80" t="str">
        <x:v>Collection contains cards</x:v>
      </x:c>
      <x:c r="D183" s="80" t="str">
        <x:v>As a collection contains cards, I can send pulls to Stack Builder within limits.</x:v>
      </x:c>
      <x:c r="E183" s="80" t="str">
        <x:v>Send all to Stack Builder creates/updates the</x:v>
      </x:c>
      <x:c r="F183" s="80" t="str">
        <x:v>/shop.html</x:v>
      </x:c>
      <x:c r="G183" s="80" t="str">
        <x:v>Collection contains cards; deck storage may be</x:v>
      </x:c>
      <x:c r="H183" s="80" t="str">
        <x:v>Send all to Stack Builder creates/updates the</x:v>
      </x:c>
      <x:c r="I183" s="80" t="str">
        <x:v>No direct browser test. Limits are 4,600 cards, 32</x:v>
      </x:c>
      <x:c r="J183" s="80" t="str">
        <x:v>Not Run</x:v>
      </x:c>
      <x:c r="K183" s="80" t="str">
        <x:v>Not Run</x:v>
      </x:c>
      <x:c r="L183" s="80"/>
      <x:c r="M183" s="80"/>
      <x:c r="N183" s="80" t="str">
        <x:v>Observed; verify partial-write behavior when one card</x:v>
      </x:c>
      <x:c r="O183" s="80" t="str">
        <x:v>site/shop.js:601-669; site/shop.html:451-460;</x:v>
      </x:c>
    </x:row>
    <x:row r="184" ht="15" hidden="0" customHeight="1">
      <x:c r="A184" s="80" t="str">
        <x:v>NUTFT-010</x:v>
      </x:c>
      <x:c r="B184" s="80" t="str">
        <x:v>Shop</x:v>
      </x:c>
      <x:c r="C184" s="80" t="str">
        <x:v>Visitor opens ?shop=mint</x:v>
      </x:c>
      <x:c r="D184" s="80" t="str">
        <x:v>As a visitor opens ?shop=mint, I can enter mint mode or fall back safely.</x:v>
      </x:c>
      <x:c r="E184" s="80" t="str">
        <x:v>A capability-aware mint is used only when online and</x:v>
      </x:c>
      <x:c r="F184" s="80" t="str">
        <x:v>/shop.html</x:v>
      </x:c>
      <x:c r="G184" s="80" t="str">
        <x:v>Visitor opens ?shop=mint; online/offline,</x:v>
      </x:c>
      <x:c r="H184" s="80" t="str">
        <x:v>A capability-aware mint is used only when online and</x:v>
      </x:c>
      <x:c r="I184" s="80" t="str">
        <x:v>tests/js/nutft.test.mjs:808-864 covers closed sales;</x:v>
      </x:c>
      <x:c r="J184" s="80" t="str">
        <x:v>Not Run</x:v>
      </x:c>
      <x:c r="K184" s="80" t="str">
        <x:v>Not Run</x:v>
      </x:c>
      <x:c r="L184" s="80"/>
      <x:c r="M184" s="80"/>
      <x:c r="N184" s="80" t="str">
        <x:v>Suspected logistics defect: mint mode is coupled to</x:v>
      </x:c>
      <x:c r="O184" s="80" t="str">
        <x:v>site/shop.js:70-99,944-972; site/shop.html:368-372,470-479.</x:v>
      </x:c>
    </x:row>
    <x:row r="185" ht="21.600000381469727" hidden="0" customHeight="1">
      <x:c r="A185" s="80" t="str">
        <x:v>NUTFT-011</x:v>
      </x:c>
      <x:c r="B185" s="80" t="str">
        <x:v>Paid mint</x:v>
      </x:c>
      <x:c r="C185" s="80" t="str">
        <x:v>Browser can call the mint</x:v>
      </x:c>
      <x:c r="D185" s="80" t="str">
        <x:v>As a browser can call the mint, I can discover a compatible mint and keyset.</x:v>
      </x:c>
      <x:c r="E185" s="80" t="str">
        <x:v>Wallet reads /v1/info and /v1/keys, requires NUT-31,</x:v>
      </x:c>
      <x:c r="F185" s="80" t="str">
        <x:v>/shop.html?shop=mint and /nutft/*</x:v>
      </x:c>
      <x:c r="G185" s="80" t="str">
        <x:v>Browser can call the mint; wallet has or can make</x:v>
      </x:c>
      <x:c r="H185" s="80" t="str">
        <x:v>Wallet reads /v1/info and /v1/keys, requires NUT-31,</x:v>
      </x:c>
      <x:c r="I185" s="80" t="str">
        <x:v>tests/js/nutft.test.mjs:112-210 exercises proof/keyset</x:v>
      </x:c>
      <x:c r="J185" s="80" t="str">
        <x:v>Not Run</x:v>
      </x:c>
      <x:c r="K185" s="80" t="str">
        <x:v>Not Run</x:v>
      </x:c>
      <x:c r="L185" s="80"/>
      <x:c r="M185" s="80"/>
      <x:c r="N185" s="80" t="str">
        <x:v>Covered for the default collection; custom collection</x:v>
      </x:c>
      <x:c r="O185" s="80" t="str">
        <x:v>site/nutft-wallet.js:41-71; server/nutft-mint.js:678-683.</x:v>
      </x:c>
    </x:row>
    <x:row r="186" ht="21.600000381469727" hidden="0" customHeight="1">
      <x:c r="A186" s="80" t="str">
        <x:v>NUTFT-012</x:v>
      </x:c>
      <x:c r="B186" s="80" t="str">
        <x:v>Paid mint</x:v>
      </x:c>
      <x:c r="C186" s="80" t="str">
        <x:v>Sales open, user passes allowlist/early-access,</x:v>
      </x:c>
      <x:c r="D186" s="80" t="str">
        <x:v>As a sales open, user passes allowlist/early-access,, I can obtain a paid quote and see an invoice.</x:v>
      </x:c>
      <x:c r="E186" s="80" t="str">
        <x:v>The wallet requests a quote, persists idempotent</x:v>
      </x:c>
      <x:c r="F186" s="80" t="str">
        <x:v>/shop.html?shop=mint and /nutft/*</x:v>
      </x:c>
      <x:c r="G186" s="80" t="str">
        <x:v>Sales open, user passes allowlist/early-access,</x:v>
      </x:c>
      <x:c r="H186" s="80" t="str">
        <x:v>The wallet requests a quote, persists idempotent</x:v>
      </x:c>
      <x:c r="I186" s="80" t="str">
        <x:v>tests/js/nutft.test.mjs:212-337 covers settlement and</x:v>
      </x:c>
      <x:c r="J186" s="80" t="str">
        <x:v>Not Run</x:v>
      </x:c>
      <x:c r="K186" s="80" t="str">
        <x:v>Not Run</x:v>
      </x:c>
      <x:c r="L186" s="80"/>
      <x:c r="M186" s="80"/>
      <x:c r="N186" s="80" t="str">
        <x:v>Suspected payment UX defect: amount rounding must be</x:v>
      </x:c>
      <x:c r="O186" s="80" t="str">
        <x:v>site/nutft-wallet.js:198-307; site/shop.js:771-820; server</x:v>
      </x:c>
    </x:row>
    <x:row r="187" ht="21.600000381469727" hidden="0" customHeight="1">
      <x:c r="A187" s="80" t="str">
        <x:v>NUTFT-013</x:v>
      </x:c>
      <x:c r="B187" s="80" t="str">
        <x:v>Paid mint</x:v>
      </x:c>
      <x:c r="C187" s="80" t="str">
        <x:v>Payment request exists</x:v>
      </x:c>
      <x:c r="D187" s="80" t="str">
        <x:v>As a payment request exists, I can wait for settlement, recover, and avoid a second spend.</x:v>
      </x:c>
      <x:c r="E187" s="80" t="str">
        <x:v>Poll/retry only while payment is unsettled; retain</x:v>
      </x:c>
      <x:c r="F187" s="80" t="str">
        <x:v>/shop.html?shop=mint and /nutft/*</x:v>
      </x:c>
      <x:c r="G187" s="80" t="str">
        <x:v>Payment request exists; settlement can be delayed,</x:v>
      </x:c>
      <x:c r="H187" s="80" t="str">
        <x:v>Poll/retry only while payment is unsettled; retain</x:v>
      </x:c>
      <x:c r="I187" s="80" t="str">
        <x:v>tests/js/nutft.test.mjs:212-337,643-747 covers delayed</x:v>
      </x:c>
      <x:c r="J187" s="80" t="str">
        <x:v>Not Run</x:v>
      </x:c>
      <x:c r="K187" s="80" t="str">
        <x:v>Not Run</x:v>
      </x:c>
      <x:c r="L187" s="80"/>
      <x:c r="M187" s="80"/>
      <x:c r="N187" s="80" t="str">
        <x:v>Covered; recovery copy and timeout behavior still need</x:v>
      </x:c>
      <x:c r="O187" s="80" t="str">
        <x:v>site/nutft-wallet.js:117-170,268-307; server</x:v>
      </x:c>
    </x:row>
    <x:row r="188" ht="21.600000381469727" hidden="0" customHeight="1">
      <x:c r="A188" s="80" t="str">
        <x:v>NUTFT-014</x:v>
      </x:c>
      <x:c r="B188" s="80" t="str">
        <x:v>Paid mint</x:v>
      </x:c>
      <x:c r="C188" s="80" t="str">
        <x:v>Sales may be open/closed</x:v>
      </x:c>
      <x:c r="D188" s="80" t="str">
        <x:v>As a sales may be open/closed, I can enforce sales, allowlist, and early-access gates.</x:v>
      </x:c>
      <x:c r="E188" s="80" t="str">
        <x:v>Closed sales, invalid/missing identity, wrong path,</x:v>
      </x:c>
      <x:c r="F188" s="80" t="str">
        <x:v>/shop.html?shop=mint and /nutft/*</x:v>
      </x:c>
      <x:c r="G188" s="80" t="str">
        <x:v>Sales may be open/closed; allowlist may contain</x:v>
      </x:c>
      <x:c r="H188" s="80" t="str">
        <x:v>Closed sales, invalid/missing identity, wrong path,</x:v>
      </x:c>
      <x:c r="I188" s="80" t="str">
        <x:v>tests/js/nutft.test.mjs:808-993,1033-1099 covers</x:v>
      </x:c>
      <x:c r="J188" s="80" t="str">
        <x:v>Not Run</x:v>
      </x:c>
      <x:c r="K188" s="80" t="str">
        <x:v>Not Run</x:v>
      </x:c>
      <x:c r="L188" s="80"/>
      <x:c r="M188" s="80"/>
      <x:c r="N188" s="80" t="str">
        <x:v>Covered; explicit error taxonomy is a NUT-31 requirement</x:v>
      </x:c>
      <x:c r="O188" s="80" t="str">
        <x:v>server/nutft-mint.js:199-227,368-387,666-676,704-746.</x:v>
      </x:c>
    </x:row>
    <x:row r="189" ht="21.600000381469727" hidden="0" customHeight="1">
      <x:c r="A189" s="80" t="str">
        <x:v>NUTFT-015</x:v>
      </x:c>
      <x:c r="B189" s="80" t="str">
        <x:v>Paid mint</x:v>
      </x:c>
      <x:c r="C189" s="80" t="str">
        <x:v>Funding has a chain/beacon and a paid quote is</x:v>
      </x:c>
      <x:c r="D189" s="80" t="str">
        <x:v>As a funding has a chain/beacon and a paid quote is, I can handle a sealed/future-beacon pack.</x:v>
      </x:c>
      <x:c r="E189" s="80" t="str">
        <x:v>User receives the invoice, payment settles, quote stays</x:v>
      </x:c>
      <x:c r="F189" s="80" t="str">
        <x:v>/shop.html?shop=mint and /nutft/*</x:v>
      </x:c>
      <x:c r="G189" s="80" t="str">
        <x:v>Funding has a chain/beacon and a paid quote is</x:v>
      </x:c>
      <x:c r="H189" s="80" t="str">
        <x:v>User receives the invoice, payment settles, quote stays</x:v>
      </x:c>
      <x:c r="I189" s="80" t="str">
        <x:v>tests/js/nutft.test.mjs:339-423 covers server sealed</x:v>
      </x:c>
      <x:c r="J189" s="80" t="str">
        <x:v>Not Run</x:v>
      </x:c>
      <x:c r="K189" s="80" t="str">
        <x:v>Not Run</x:v>
      </x:c>
      <x:c r="L189" s="80"/>
      <x:c r="M189" s="80"/>
      <x:c r="N189" s="80" t="str">
        <x:v>Suspected critical paid-flow defect; browser story is</x:v>
      </x:c>
      <x:c r="O189" s="80" t="str">
        <x:v>server/nutft-mint.js:247-285,389-472,551-626; wallet</x:v>
      </x:c>
    </x:row>
    <x:row r="190" ht="21.600000381469727" hidden="0" customHeight="1">
      <x:c r="A190" s="80" t="str">
        <x:v>NUTFT-016</x:v>
      </x:c>
      <x:c r="B190" s="80" t="str">
        <x:v>Paid mint</x:v>
      </x:c>
      <x:c r="C190" s="80" t="str">
        <x:v>LNURL-P endpoint is enabled, sales are open, and a</x:v>
      </x:c>
      <x:c r="D190" s="80" t="str">
        <x:v>As a lnurl-p endpoint is enabled, sales are open, and a, I can pay through LNURL-P and claim the paid pack.</x:v>
      </x:c>
      <x:c r="E190" s="80" t="str">
        <x:v>Metadata advertises the exact amount and callback; a</x:v>
      </x:c>
      <x:c r="F190" s="80" t="str">
        <x:v>/shop.html?shop=mint and /nutft/*</x:v>
      </x:c>
      <x:c r="G190" s="80" t="str">
        <x:v>LNURL-P endpoint is enabled, sales are open, and a</x:v>
      </x:c>
      <x:c r="H190" s="80" t="str">
        <x:v>Metadata advertises the exact amount and callback; a</x:v>
      </x:c>
      <x:c r="I190" s="80" t="str">
        <x:v>tests/js/nutft.test.mjs:425-486 checks LNURL metadata,</x:v>
      </x:c>
      <x:c r="J190" s="80" t="str">
        <x:v>Not Run</x:v>
      </x:c>
      <x:c r="K190" s="80" t="str">
        <x:v>Not Run</x:v>
      </x:c>
      <x:c r="L190" s="80"/>
      <x:c r="M190" s="80"/>
      <x:c r="N190" s="80" t="str">
        <x:v>Suspected critical logistics/UX defect: paid LNURL</x:v>
      </x:c>
      <x:c r="O190" s="80" t="str">
        <x:v>server/nutft-mint.js:704-746; site/shop.js:91-99,944-972.</x:v>
      </x:c>
    </x:row>
    <x:row r="191" ht="21.600000381469727" hidden="0" customHeight="1">
      <x:c r="A191" s="80" t="str">
        <x:v>NUTFT-017</x:v>
      </x:c>
      <x:c r="B191" s="80" t="str">
        <x:v>Paid mint</x:v>
      </x:c>
      <x:c r="C191" s="80" t="str">
        <x:v>Shop can fetch /nutft/state</x:v>
      </x:c>
      <x:c r="D191" s="80" t="str">
        <x:v>As a shop can fetch /nutft/state, I can show authoritative mint state and supply.</x:v>
      </x:c>
      <x:c r="E191" s="80" t="str">
        <x:v>Mint mode shows sold/remaining/next pack, census hash,</x:v>
      </x:c>
      <x:c r="F191" s="80" t="str">
        <x:v>/shop.html?shop=mint and /nutft/*</x:v>
      </x:c>
      <x:c r="G191" s="80" t="str">
        <x:v>Shop can fetch /nutft/state; server has durable</x:v>
      </x:c>
      <x:c r="H191" s="80" t="str">
        <x:v>Mint mode shows sold/remaining/next pack, census hash,</x:v>
      </x:c>
      <x:c r="I191" s="80" t="str">
        <x:v>State/payment tests exist at</x:v>
      </x:c>
      <x:c r="J191" s="80" t="str">
        <x:v>Not Run</x:v>
      </x:c>
      <x:c r="K191" s="80" t="str">
        <x:v>Not Run</x:v>
      </x:c>
      <x:c r="L191" s="80"/>
      <x:c r="M191" s="80"/>
      <x:c r="N191" s="80" t="str">
        <x:v>Suspected UX/logistics defect: supply/odds shown to a</x:v>
      </x:c>
      <x:c r="O191" s="80" t="str">
        <x:v>server/nutft-mint.js:141-147,678-683; site/shop.js:854-860,944-960.</x:v>
      </x:c>
    </x:row>
    <x:row r="192" ht="21.600000381469727" hidden="0" customHeight="1">
      <x:c r="A192" s="80" t="str">
        <x:v>NUTFT-018</x:v>
      </x:c>
      <x:c r="B192" s="80" t="str">
        <x:v>Paid mint</x:v>
      </x:c>
      <x:c r="C192" s="80" t="str">
        <x:v>Client/server receives missing, malformed, unknown,</x:v>
      </x:c>
      <x:c r="D192" s="80" t="str">
        <x:v>As a client/server receives missing, malformed, unknown,, I can reject bad payment references and preserve safe retry state.</x:v>
      </x:c>
      <x:c r="E192" s="80" t="str">
        <x:v>Server returns a specific safe error; an unpaid or</x:v>
      </x:c>
      <x:c r="F192" s="80" t="str">
        <x:v>/shop.html?shop=mint and /nutft/*</x:v>
      </x:c>
      <x:c r="G192" s="80" t="str">
        <x:v>Client/server receives missing, malformed, unknown,</x:v>
      </x:c>
      <x:c r="H192" s="80" t="str">
        <x:v>Server returns a specific safe error; an unpaid or</x:v>
      </x:c>
      <x:c r="I192" s="80" t="str">
        <x:v>tests/js/nutft.test.mjs:260-337,596-640 covers UUID,</x:v>
      </x:c>
      <x:c r="J192" s="80" t="str">
        <x:v>Not Run</x:v>
      </x:c>
      <x:c r="K192" s="80" t="str">
        <x:v>Not Run</x:v>
      </x:c>
      <x:c r="L192" s="80"/>
      <x:c r="M192" s="80"/>
      <x:c r="N192" s="80" t="str">
        <x:v>Covered server-side; error/retry semantics need a</x:v>
      </x:c>
      <x:c r="O192" s="80" t="str">
        <x:v>server/nutft-mint.js:217-227,474-495,551-626;</x:v>
      </x:c>
    </x:row>
    <x:row r="193" ht="21.600000381469727" hidden="0" customHeight="1">
      <x:c r="A193" s="80" t="str">
        <x:v>NUTFT-019</x:v>
      </x:c>
      <x:c r="B193" s="80" t="str">
        <x:v>NutFT wallet and trade</x:v>
      </x:c>
      <x:c r="C193" s="80" t="str">
        <x:v>A client posts one or more output openings.</x:v>
      </x:c>
      <x:c r="D193" s="80" t="str">
        <x:v>As a client posts one or more output openings., I can validate every booster output and exact NutFT binding.</x:v>
      </x:c>
      <x:c r="E193" s="80" t="str">
        <x:v>Mint accepts amount 1 only, active keyset, exact</x:v>
      </x:c>
      <x:c r="F193" s="80" t="str">
        <x:v>/wallet.html and /nutft/*</x:v>
      </x:c>
      <x:c r="G193" s="80" t="str">
        <x:v>A client posts one or more output openings.</x:v>
      </x:c>
      <x:c r="H193" s="80" t="str">
        <x:v>Mint accepts amount 1 only, active keyset, exact</x:v>
      </x:c>
      <x:c r="I193" s="80" t="str">
        <x:v>tests/js/nutft.test.mjs:112-210,995-1031 exercises</x:v>
      </x:c>
      <x:c r="J193" s="80" t="str">
        <x:v>Not Run</x:v>
      </x:c>
      <x:c r="K193" s="80" t="str">
        <x:v>Not Run</x:v>
      </x:c>
      <x:c r="L193" s="80"/>
      <x:c r="M193" s="80"/>
      <x:c r="N193" s="80" t="str">
        <x:v>Suspected high logistical/funds defect plus protocol</x:v>
      </x:c>
      <x:c r="O193" s="80" t="str">
        <x:v>server/nutft-mint.js:497-534,551-626; binding helpers</x:v>
      </x:c>
    </x:row>
    <x:row r="194" ht="21.600000381469727" hidden="0" customHeight="1">
      <x:c r="A194" s="80" t="str">
        <x:v>NUTFT-020</x:v>
      </x:c>
      <x:c r="B194" s="80" t="str">
        <x:v>NutFT wallet and trade</x:v>
      </x:c>
      <x:c r="C194" s="80" t="str">
        <x:v>Compatible keyset and output openings exist.</x:v>
      </x:c>
      <x:c r="D194" s="80" t="str">
        <x:v>As a compatible keyset and output openings exist., I can mint and verify DLEQ/P2BK proofs per card.</x:v>
      </x:c>
      <x:c r="E194" s="80" t="str">
        <x:v>Each amount-1 proof carries a DLEQ proof (when</x:v>
      </x:c>
      <x:c r="F194" s="80" t="str">
        <x:v>/wallet.html and /nutft/*</x:v>
      </x:c>
      <x:c r="G194" s="80" t="str">
        <x:v>Compatible keyset and output openings exist.</x:v>
      </x:c>
      <x:c r="H194" s="80" t="str">
        <x:v>Each amount-1 proof carries a DLEQ proof (when</x:v>
      </x:c>
      <x:c r="I194" s="80" t="str">
        <x:v>tests/js/nutft.test.mjs:112-210 asserts per-card</x:v>
      </x:c>
      <x:c r="J194" s="80" t="str">
        <x:v>Not Run</x:v>
      </x:c>
      <x:c r="K194" s="80" t="str">
        <x:v>Not Run</x:v>
      </x:c>
      <x:c r="L194" s="80"/>
      <x:c r="M194" s="80"/>
      <x:c r="N194" s="80" t="str">
        <x:v>Covered for generated proofs; recipient-key possession</x:v>
      </x:c>
      <x:c r="O194" s="80" t="str">
        <x:v>server/nutft-mint.js:497-534,551-626; wallet</x:v>
      </x:c>
    </x:row>
    <x:row r="195" ht="21.600000381469727" hidden="0" customHeight="1">
      <x:c r="A195" s="80" t="str">
        <x:v>NUTFT-021</x:v>
      </x:c>
      <x:c r="B195" s="80" t="str">
        <x:v>NutFT wallet and trade</x:v>
      </x:c>
      <x:c r="C195" s="80" t="str">
        <x:v>Sender has an unspent NutFT proof and a valid</x:v>
      </x:c>
      <x:c r="D195" s="80" t="str">
        <x:v>As a sender has an unspent nutft proof and a valid, I can trade one proof atomically for a replacement proof.</x:v>
      </x:c>
      <x:c r="E195" s="80" t="str">
        <x:v>Wallet signs the old secret, server authenticates the</x:v>
      </x:c>
      <x:c r="F195" s="80" t="str">
        <x:v>/wallet.html and /nutft/*</x:v>
      </x:c>
      <x:c r="G195" s="80" t="str">
        <x:v>Sender has an unspent NutFT proof and a valid</x:v>
      </x:c>
      <x:c r="H195" s="80" t="str">
        <x:v>Wallet signs the old secret, server authenticates the</x:v>
      </x:c>
      <x:c r="I195" s="80" t="str">
        <x:v>tests/js/nutft.test.mjs:66-210 covers transfer,</x:v>
      </x:c>
      <x:c r="J195" s="80" t="str">
        <x:v>Not Run</x:v>
      </x:c>
      <x:c r="K195" s="80" t="str">
        <x:v>Not Run</x:v>
      </x:c>
      <x:c r="L195" s="80"/>
      <x:c r="M195" s="80"/>
      <x:c r="N195" s="80" t="str">
        <x:v>Covered for default catalog; catalog URI preservation is</x:v>
      </x:c>
      <x:c r="O195" s="80" t="str">
        <x:v>site/nutft-wallet.js:364-392; server/nutft-mint.js:628-664.</x:v>
      </x:c>
    </x:row>
    <x:row r="196" ht="21.600000381469727" hidden="0" customHeight="1">
      <x:c r="A196" s="80" t="str">
        <x:v>NUTFT-022</x:v>
      </x:c>
      <x:c r="B196" s="80" t="str">
        <x:v>NutFT wallet and trade</x:v>
      </x:c>
      <x:c r="C196" s="80" t="str">
        <x:v>Client tries a generic swap/melt or an unsupported</x:v>
      </x:c>
      <x:c r="D196" s="80" t="str">
        <x:v>As a client tries a generic swap/melt or an unsupported, I can reject generic Cashu swap/melt that strips NutFT.</x:v>
      </x:c>
      <x:c r="E196" s="80" t="str">
        <x:v>Mint refuses the operation explicitly; it never returns</x:v>
      </x:c>
      <x:c r="F196" s="80" t="str">
        <x:v>/wallet.html and /nutft/*</x:v>
      </x:c>
      <x:c r="G196" s="80" t="str">
        <x:v>Client tries a generic swap/melt or an unsupported</x:v>
      </x:c>
      <x:c r="H196" s="80" t="str">
        <x:v>Mint refuses the operation explicitly; it never returns</x:v>
      </x:c>
      <x:c r="I196" s="80" t="str">
        <x:v>tests/js/nutft.test.mjs:205-210 checks unsupported</x:v>
      </x:c>
      <x:c r="J196" s="80" t="str">
        <x:v>Not Run</x:v>
      </x:c>
      <x:c r="K196" s="80" t="str">
        <x:v>Not Run</x:v>
      </x:c>
      <x:c r="L196" s="80"/>
      <x:c r="M196" s="80"/>
      <x:c r="N196" s="80" t="str">
        <x:v>Covered at route level; error taxonomy remains a UX gap.</x:v>
      </x:c>
      <x:c r="O196" s="80" t="str">
        <x:v>server/nutft-mint.js:694-700,758-761; 31.md:109-139.</x:v>
      </x:c>
    </x:row>
    <x:row r="197" ht="21.600000381469727" hidden="0" customHeight="1">
      <x:c r="A197" s="80" t="str">
        <x:v>NUTFT-023</x:v>
      </x:c>
      <x:c r="B197" s="80" t="str">
        <x:v>NutFT wallet and trade</x:v>
      </x:c>
      <x:c r="C197" s="80" t="str">
        <x:v>Wallet has a token/proof</x:v>
      </x:c>
      <x:c r="D197" s="80" t="str">
        <x:v>As a wallet user, I can inspect proofs and distinguish unspent, spent, and invalid state.</x:v>
      </x:c>
      <x:c r="E197" s="80" t="str">
        <x:v>Wallet parses the canonical secret, requires one tag,</x:v>
      </x:c>
      <x:c r="F197" s="80" t="str">
        <x:v>/wallet.html and /nutft/*</x:v>
      </x:c>
      <x:c r="G197" s="80" t="str">
        <x:v>Wallet has a token/proof; catalog and mint checkstate</x:v>
      </x:c>
      <x:c r="H197" s="80" t="str">
        <x:v>Wallet parses the canonical secret, requires one tag,</x:v>
      </x:c>
      <x:c r="I197" s="80" t="str">
        <x:v>tests/js/nutft.test.mjs:66-210 covers generated</x:v>
      </x:c>
      <x:c r="J197" s="80" t="str">
        <x:v>Not Run</x:v>
      </x:c>
      <x:c r="K197" s="80" t="str">
        <x:v>Not Run</x:v>
      </x:c>
      <x:c r="L197" s="80"/>
      <x:c r="M197" s="80"/>
      <x:c r="N197" s="80" t="str">
        <x:v>Observed; add timeout and per-proof failure tests.</x:v>
      </x:c>
      <x:c r="O197" s="80" t="str">
        <x:v>site/nutft-wallet.js:325-362; site/wallet.html:92-138;</x:v>
      </x:c>
    </x:row>
    <x:row r="198" ht="21.600000381469727" hidden="0" customHeight="1">
      <x:c r="A198" s="80" t="str">
        <x:v>NUTFT-024</x:v>
      </x:c>
      <x:c r="B198" s="80" t="str">
        <x:v>NutFT wallet and trade</x:v>
      </x:c>
      <x:c r="C198" s="80" t="str">
        <x:v>Wallet holds a proof addressed to another valid</x:v>
      </x:c>
      <x:c r="D198" s="80" t="str">
        <x:v>As a wallet holds a proof addressed to another valid, I can count only proofs the wallet actually owns.</x:v>
      </x:c>
      <x:c r="E198" s="80" t="str">
        <x:v>Snapshot/import should reject or classify the proof as</x:v>
      </x:c>
      <x:c r="F198" s="80" t="str">
        <x:v>/wallet.html and /nutft/*</x:v>
      </x:c>
      <x:c r="G198" s="80" t="str">
        <x:v>Wallet holds a proof addressed to another valid</x:v>
      </x:c>
      <x:c r="H198" s="80" t="str">
        <x:v>Snapshot/import should reject or classify the proof as</x:v>
      </x:c>
      <x:c r="I198" s="80" t="str">
        <x:v>No ownership-negative test found. inspectProof checks</x:v>
      </x:c>
      <x:c r="J198" s="80" t="str">
        <x:v>Not Run</x:v>
      </x:c>
      <x:c r="K198" s="80" t="str">
        <x:v>Not Run</x:v>
      </x:c>
      <x:c r="L198" s="80"/>
      <x:c r="M198" s="80"/>
      <x:c r="N198" s="80" t="str">
        <x:v>Suspected high security/UX defect: possession is claimed</x:v>
      </x:c>
      <x:c r="O198" s="80" t="str">
        <x:v>site/nutft-wallet.js:325-362,400-419; site/wallet.html:92-138;</x:v>
      </x:c>
    </x:row>
    <x:row r="199" ht="21.600000381469727" hidden="0" customHeight="1">
      <x:c r="A199" s="80" t="str">
        <x:v>NUTFT-025</x:v>
      </x:c>
      <x:c r="B199" s="80" t="str">
        <x:v>NutFT wallet and trade</x:v>
      </x:c>
      <x:c r="C199" s="80" t="str">
        <x:v>Wallet receives a proof with catalog URI, issuer,</x:v>
      </x:c>
      <x:c r="D199" s="80" t="str">
        <x:v>As a wallet receives a proof with catalog uri, issuer,, I can verify signed catalog and immutable asset binding.</x:v>
      </x:c>
      <x:c r="E199" s="80" t="str">
        <x:v>It fetches the configured catalog, verifies issuer</x:v>
      </x:c>
      <x:c r="F199" s="80" t="str">
        <x:v>/wallet.html and /nutft/*</x:v>
      </x:c>
      <x:c r="G199" s="80" t="str">
        <x:v>Wallet receives a proof with catalog URI, issuer,</x:v>
      </x:c>
      <x:c r="H199" s="80" t="str">
        <x:v>It fetches the configured catalog, verifies issuer</x:v>
      </x:c>
      <x:c r="I199" s="80" t="str">
        <x:v>tests/js/nutft.test.mjs:112-210 covers catalog/binding</x:v>
      </x:c>
      <x:c r="J199" s="80" t="str">
        <x:v>Not Run</x:v>
      </x:c>
      <x:c r="K199" s="80" t="str">
        <x:v>Not Run</x:v>
      </x:c>
      <x:c r="L199" s="80"/>
      <x:c r="M199" s="80"/>
      <x:c r="N199" s="80" t="str">
        <x:v>Covered for the default E1 catalog; configuration</x:v>
      </x:c>
      <x:c r="O199" s="80" t="str">
        <x:v>site/nutft-wallet.js:316-343; server catalog creation</x:v>
      </x:c>
    </x:row>
    <x:row r="200" ht="21.600000381469727" hidden="0" customHeight="1">
      <x:c r="A200" s="80" t="str">
        <x:v>NUTFT-026</x:v>
      </x:c>
      <x:c r="B200" s="80" t="str">
        <x:v>NutFT wallet and trade</x:v>
      </x:c>
      <x:c r="C200" s="80" t="str">
        <x:v>Asset catalog has one or more face URLs and an</x:v>
      </x:c>
      <x:c r="D200" s="80" t="str">
        <x:v>As an asset catalog has one or more face urls and an, I can verify Blossom face bytes and fall back across URLs.</x:v>
      </x:c>
      <x:c r="E200" s="80" t="str">
        <x:v>Wallet fetches candidate URLs in order, verifies full</x:v>
      </x:c>
      <x:c r="F200" s="80" t="str">
        <x:v>/wallet.html and /nutft/*</x:v>
      </x:c>
      <x:c r="G200" s="80" t="str">
        <x:v>Asset catalog has one or more face URLs and an</x:v>
      </x:c>
      <x:c r="H200" s="80" t="str">
        <x:v>Wallet fetches candidate URLs in order, verifies full</x:v>
      </x:c>
      <x:c r="I200" s="80" t="str">
        <x:v>No browser/network fixture test found. The code reads</x:v>
      </x:c>
      <x:c r="J200" s="80" t="str">
        <x:v>Not Run</x:v>
      </x:c>
      <x:c r="K200" s="80" t="str">
        <x:v>Not Run</x:v>
      </x:c>
      <x:c r="L200" s="80"/>
      <x:c r="M200" s="80"/>
      <x:c r="N200" s="80" t="str">
        <x:v>Suspected medium availability/security UX defect.</x:v>
      </x:c>
      <x:c r="O200" s="80" t="str">
        <x:v>site/wallet.html:67-91,101-138.</x:v>
      </x:c>
    </x:row>
    <x:row r="201" ht="21.600000381469727" hidden="0" customHeight="1">
      <x:c r="A201" s="80" t="str">
        <x:v>NUTFT-027</x:v>
      </x:c>
      <x:c r="B201" s="80" t="str">
        <x:v>NutFT wallet and trade</x:v>
      </x:c>
      <x:c r="C201" s="80" t="str">
        <x:v>Wallet receives a Cashu token from a trade</x:v>
      </x:c>
      <x:c r="D201" s="80" t="str">
        <x:v>As a wallet receives a cashu token from a trade, I can import a received NutFT token.</x:v>
      </x:c>
      <x:c r="E201" s="80" t="str">
        <x:v>Import is atomic per token: decode, require one mint and</x:v>
      </x:c>
      <x:c r="F201" s="80" t="str">
        <x:v>/wallet.html and /nutft/*</x:v>
      </x:c>
      <x:c r="G201" s="80" t="str">
        <x:v>Wallet receives a Cashu token from a trade; token</x:v>
      </x:c>
      <x:c r="H201" s="80" t="str">
        <x:v>Import is atomic per token: decode, require one mint and</x:v>
      </x:c>
      <x:c r="I201" s="80" t="str">
        <x:v>tests/js/nutft.test.mjs:66-210 covers transfer/import</x:v>
      </x:c>
      <x:c r="J201" s="80" t="str">
        <x:v>Not Run</x:v>
      </x:c>
      <x:c r="K201" s="80" t="str">
        <x:v>Not Run</x:v>
      </x:c>
      <x:c r="L201" s="80"/>
      <x:c r="M201" s="80"/>
      <x:c r="N201" s="80" t="str">
        <x:v>Suspected high wallet consistency defect.</x:v>
      </x:c>
      <x:c r="O201" s="80" t="str">
        <x:v>site/nutft-wallet.js:400-419; site/wallet.html:49-51,139-159.</x:v>
      </x:c>
    </x:row>
    <x:row r="202" ht="21.600000381469727" hidden="0" customHeight="1">
      <x:c r="A202" s="80" t="str">
        <x:v>NUTFT-028</x:v>
      </x:c>
      <x:c r="B202" s="80" t="str">
        <x:v>NutFT wallet and trade</x:v>
      </x:c>
      <x:c r="C202" s="80" t="str">
        <x:v>Wallet has identity/tokens/pending operation or is</x:v>
      </x:c>
      <x:c r="D202" s="80" t="str">
        <x:v>As a wallet has identity/tokens/pending operation or is, I can export, backup, and restore a wallet.</x:v>
      </x:c>
      <x:c r="E202" s="80" t="str">
        <x:v>Download/export contains the private key, tokens, and</x:v>
      </x:c>
      <x:c r="F202" s="80" t="str">
        <x:v>/wallet.html and /nutft/*</x:v>
      </x:c>
      <x:c r="G202" s="80" t="str">
        <x:v>Wallet has identity/tokens/pending operation or is</x:v>
      </x:c>
      <x:c r="H202" s="80" t="str">
        <x:v>Download/export contains the private key, tokens, and</x:v>
      </x:c>
      <x:c r="I202" s="80" t="str">
        <x:v>tests/js/nutft.test.mjs:66-109 covers backup/reload and</x:v>
      </x:c>
      <x:c r="J202" s="80" t="str">
        <x:v>Not Run</x:v>
      </x:c>
      <x:c r="K202" s="80" t="str">
        <x:v>Not Run</x:v>
      </x:c>
      <x:c r="L202" s="80"/>
      <x:c r="M202" s="80"/>
      <x:c r="N202" s="80" t="str">
        <x:v>Covered happy path; suspected malformed-backup UX gap.</x:v>
      </x:c>
      <x:c r="O202" s="80" t="str">
        <x:v>site/nutft-wallet.js:421-437; site/wallet.html:55-57,142-159.</x:v>
      </x:c>
    </x:row>
    <x:row r="203" ht="21.600000381469727" hidden="0" customHeight="1">
      <x:c r="A203" s="80" t="str">
        <x:v>NUTFT-029</x:v>
      </x:c>
      <x:c r="B203" s="80" t="str">
        <x:v>NutFT wallet and trade</x:v>
      </x:c>
      <x:c r="C203" s="80" t="str">
        <x:v>Wallet page loaded</x:v>
      </x:c>
      <x:c r="D203" s="80" t="str">
        <x:v>As a wallet page loaded, I can receive/import/export/transfer from the wallet page.</x:v>
      </x:c>
      <x:c r="E203" s="80" t="str">
        <x:v>Page shows a P2BK receive destination, verifies/imports</x:v>
      </x:c>
      <x:c r="F203" s="80" t="str">
        <x:v>/wallet.html and /nutft/*</x:v>
      </x:c>
      <x:c r="G203" s="80" t="str">
        <x:v>Wallet page loaded; receiver destination may be</x:v>
      </x:c>
      <x:c r="H203" s="80" t="str">
        <x:v>Page shows a P2BK receive destination, verifies/imports</x:v>
      </x:c>
      <x:c r="I203" s="80" t="str">
        <x:v>No page-level DOM test found. Wallet copy uses only</x:v>
      </x:c>
      <x:c r="J203" s="80" t="str">
        <x:v>Not Run</x:v>
      </x:c>
      <x:c r="K203" s="80" t="str">
        <x:v>Not Run</x:v>
      </x:c>
      <x:c r="L203" s="80"/>
      <x:c r="M203" s="80"/>
      <x:c r="N203" s="80" t="str">
        <x:v>Suspected low/medium UX defect: silent copy failure can</x:v>
      </x:c>
      <x:c r="O203" s="80" t="str">
        <x:v>site/wallet.html:42-60,92-159; wallet APIs</x:v>
      </x:c>
    </x:row>
    <x:row r="204" ht="21.600000381469727" hidden="0" customHeight="1">
      <x:c r="A204" s="80" t="str">
        <x:v>NUTFT-030</x:v>
      </x:c>
      <x:c r="B204" s="80" t="str">
        <x:v>NutFT wallet and trade</x:v>
      </x:c>
      <x:c r="C204" s="80" t="str">
        <x:v>Browser/network dies after a pending operation was</x:v>
      </x:c>
      <x:c r="D204" s="80" t="str">
        <x:v>As a browser/network dies after a pending operation was, I can recover a lost trade/mint response.</x:v>
      </x:c>
      <x:c r="E204" s="80" t="str">
        <x:v>Reload or explicit recovery reads pending idempotency</x:v>
      </x:c>
      <x:c r="F204" s="80" t="str">
        <x:v>/wallet.html and /nutft/*</x:v>
      </x:c>
      <x:c r="G204" s="80" t="str">
        <x:v>Browser/network dies after a pending operation was</x:v>
      </x:c>
      <x:c r="H204" s="80" t="str">
        <x:v>Reload or explicit recovery reads pending idempotency</x:v>
      </x:c>
      <x:c r="I204" s="80" t="str">
        <x:v>tests/js/nutft.test.mjs:66-109,212-337 covers pending</x:v>
      </x:c>
      <x:c r="J204" s="80" t="str">
        <x:v>Not Run</x:v>
      </x:c>
      <x:c r="K204" s="80" t="str">
        <x:v>Not Run</x:v>
      </x:c>
      <x:c r="L204" s="80"/>
      <x:c r="M204" s="80"/>
      <x:c r="N204" s="80" t="str">
        <x:v>Covered core; suspected recovery discoverability gap.</x:v>
      </x:c>
      <x:c r="O204" s="80" t="str">
        <x:v>site/nutft-wallet.js:88-170,268-307,364-392.</x:v>
      </x:c>
    </x:row>
    <x:row r="205" ht="21.600000381469727" hidden="0" customHeight="1">
      <x:c r="A205" s="80" t="str">
        <x:v>NUTFT-031</x:v>
      </x:c>
      <x:c r="B205" s="80" t="str">
        <x:v>NutFT wallet and trade</x:v>
      </x:c>
      <x:c r="C205" s="80" t="str">
        <x:v>Same idempotency key and body are replayed</x:v>
      </x:c>
      <x:c r="D205" s="80" t="str">
        <x:v>As a same idempotency key and body are replayed, I can idempotency across quote/booster/trade retries.</x:v>
      </x:c>
      <x:c r="E205" s="80" t="str">
        <x:v>Exact replay returns the original response; changed-body</x:v>
      </x:c>
      <x:c r="F205" s="80" t="str">
        <x:v>/wallet.html and /nutft/*</x:v>
      </x:c>
      <x:c r="G205" s="80" t="str">
        <x:v>Same idempotency key and body are replayed; a key</x:v>
      </x:c>
      <x:c r="H205" s="80" t="str">
        <x:v>Exact replay returns the original response; changed-body</x:v>
      </x:c>
      <x:c r="I205" s="80" t="str">
        <x:v>tests/js/nutft.test.mjs:275-337,596-640 covers settled</x:v>
      </x:c>
      <x:c r="J205" s="80" t="str">
        <x:v>Not Run</x:v>
      </x:c>
      <x:c r="K205" s="80" t="str">
        <x:v>Not Run</x:v>
      </x:c>
      <x:c r="L205" s="80"/>
      <x:c r="M205" s="80"/>
      <x:c r="N205" s="80" t="str">
        <x:v>Covered server-side; add concurrent replay evidence.</x:v>
      </x:c>
      <x:c r="O205" s="80" t="str">
        <x:v>server/nutft-mint.js:323-334,551-664; wallet</x:v>
      </x:c>
    </x:row>
    <x:row r="206" ht="21.600000381469727" hidden="0" customHeight="1">
      <x:c r="A206" s="80" t="str">
        <x:v>NUTFT-032</x:v>
      </x:c>
      <x:c r="B206" s="80" t="str">
        <x:v>NutFT protocol and operations</x:v>
      </x:c>
      <x:c r="C206" s="80" t="str">
        <x:v>Deck Builder opened with no wallet, a wallet with</x:v>
      </x:c>
      <x:c r="D206" s="80" t="str">
        <x:v>As a deck builder opened with no wallet, a wallet with, I can choose deck mode and enforce verified OG ownership.</x:v>
      </x:c>
      <x:c r="E206" s="80" t="str">
        <x:v>Freestyle remains available; OG mode is disabled or</x:v>
      </x:c>
      <x:c r="F206" s="80" t="str">
        <x:v>/wallet.html and /nutft/*</x:v>
      </x:c>
      <x:c r="G206" s="80" t="str">
        <x:v>Deck Builder opened with no wallet, a wallet with</x:v>
      </x:c>
      <x:c r="H206" s="80" t="str">
        <x:v>Freestyle remains available; OG mode is disabled or</x:v>
      </x:c>
      <x:c r="I206" s="80" t="str">
        <x:v>No direct deck browser test found. A stale comment says</x:v>
      </x:c>
      <x:c r="J206" s="80" t="str">
        <x:v>Not Run</x:v>
      </x:c>
      <x:c r="K206" s="80" t="str">
        <x:v>Not Run</x:v>
      </x:c>
      <x:c r="L206" s="80"/>
      <x:c r="M206" s="80"/>
      <x:c r="N206" s="80" t="str">
        <x:v>Observed; remove stale statement and test each mode.</x:v>
      </x:c>
      <x:c r="O206" s="80" t="str">
        <x:v>site/deck.html:311-334,468-485,1181-1207,1323-1375.</x:v>
      </x:c>
    </x:row>
    <x:row r="207" ht="21.600000381469727" hidden="0" customHeight="1">
      <x:c r="A207" s="80" t="str">
        <x:v>NUTFT-033</x:v>
      </x:c>
      <x:c r="B207" s="80" t="str">
        <x:v>NutFT protocol and operations</x:v>
      </x:c>
      <x:c r="C207" s="80" t="str">
        <x:v>A saved custom stack is marked NutFT</x:v>
      </x:c>
      <x:c r="D207" s="80" t="str">
        <x:v>As a saved custom stack is marked nutft, I can recheck possession before starting gameplay.</x:v>
      </x:c>
      <x:c r="E207" s="80" t="str">
        <x:v>Play validates each required card count against current</x:v>
      </x:c>
      <x:c r="F207" s="80" t="str">
        <x:v>/wallet.html and /nutft/*</x:v>
      </x:c>
      <x:c r="G207" s="80" t="str">
        <x:v>A saved custom stack is marked NutFT; wallet state</x:v>
      </x:c>
      <x:c r="H207" s="80" t="str">
        <x:v>Play validates each required card count against current</x:v>
      </x:c>
      <x:c r="I207" s="80" t="str">
        <x:v>No direct gameplay/wallet integration test found.</x:v>
      </x:c>
      <x:c r="J207" s="80" t="str">
        <x:v>Not Run</x:v>
      </x:c>
      <x:c r="K207" s="80" t="str">
        <x:v>Not Run</x:v>
      </x:c>
      <x:c r="L207" s="80"/>
      <x:c r="M207" s="80"/>
      <x:c r="N207" s="80" t="str">
        <x:v>Suspected inherited ownership defect; needs an end-to-end</x:v>
      </x:c>
      <x:c r="O207" s="80" t="str">
        <x:v>site/play.js:4083-4111,4242-4272.</x:v>
      </x:c>
    </x:row>
    <x:row r="208" ht="21.600000381469727" hidden="0" customHeight="1">
      <x:c r="A208" s="80" t="str">
        <x:v>NUTFT-034</x:v>
      </x:c>
      <x:c r="B208" s="80" t="str">
        <x:v>NutFT protocol and operations</x:v>
      </x:c>
      <x:c r="C208" s="80" t="str">
        <x:v>Census, pools, slots, beacon, and remaining counts</x:v>
      </x:c>
      <x:c r="D208" s="80" t="str">
        <x:v>As a census, pools, slots, beacon, and remaining counts, I can draw deterministic cards from a census.</x:v>
      </x:c>
      <x:c r="E208" s="80" t="str">
        <x:v>Same census/beacon/pack ID yields the same seven-card</x:v>
      </x:c>
      <x:c r="F208" s="80" t="str">
        <x:v>/wallet.html and /nutft/*</x:v>
      </x:c>
      <x:c r="G208" s="80" t="str">
        <x:v>Census, pools, slots, beacon, and remaining counts</x:v>
      </x:c>
      <x:c r="H208" s="80" t="str">
        <x:v>Same census/beacon/pack ID yields the same seven-card</x:v>
      </x:c>
      <x:c r="I208" s="80" t="str">
        <x:v>tests/js/nutft.test.mjs:23-26,339-423 covers the</x:v>
      </x:c>
      <x:c r="J208" s="80" t="str">
        <x:v>Not Run</x:v>
      </x:c>
      <x:c r="K208" s="80" t="str">
        <x:v>Not Run</x:v>
      </x:c>
      <x:c r="L208" s="80"/>
      <x:c r="M208" s="80"/>
      <x:c r="N208" s="80" t="str">
        <x:v>Covered vector; suspected deployment-integrity gap.</x:v>
      </x:c>
      <x:c r="O208" s="80" t="str">
        <x:v>server/nutft-draw.js:1-89; census/test vector</x:v>
      </x:c>
    </x:row>
    <x:row r="209" ht="21.600000381469727" hidden="0" customHeight="1">
      <x:c r="A209" s="80" t="str">
        <x:v>NUTFT-035</x:v>
      </x:c>
      <x:c r="B209" s="80" t="str">
        <x:v>NutFT protocol and operations</x:v>
      </x:c>
      <x:c r="C209" s="80" t="str">
        <x:v>Mint starts with census/catalog keys and an</x:v>
      </x:c>
      <x:c r="D209" s="80" t="str">
        <x:v>As a mint starts with census/catalog keys and an, I can serve signed catalog and verified art references.</x:v>
      </x:c>
      <x:c r="E209" s="80" t="str">
        <x:v>/nutft/catalog exposes signed schema, collection,</x:v>
      </x:c>
      <x:c r="F209" s="80" t="str">
        <x:v>/wallet.html and /nutft/*</x:v>
      </x:c>
      <x:c r="G209" s="80" t="str">
        <x:v>Mint starts with census/catalog keys and an</x:v>
      </x:c>
      <x:c r="H209" s="80" t="str">
        <x:v>/nutft/catalog exposes signed schema, collection,</x:v>
      </x:c>
      <x:c r="I209" s="80" t="str">
        <x:v>tests/js/nutft.test.mjs:28-43,112-210 covers absolute</x:v>
      </x:c>
      <x:c r="J209" s="80" t="str">
        <x:v>Not Run</x:v>
      </x:c>
      <x:c r="K209" s="80" t="str">
        <x:v>Not Run</x:v>
      </x:c>
      <x:c r="L209" s="80"/>
      <x:c r="M209" s="80"/>
      <x:c r="N209" s="80" t="str">
        <x:v>Covered in local setup; deployment configuration is a</x:v>
      </x:c>
      <x:c r="O209" s="80" t="str">
        <x:v>server/nutft-mint.js:141-147,287-320,695-700; cards/nutft-census.json.</x:v>
      </x:c>
    </x:row>
    <x:row r="210" ht="21.600000381469727" hidden="0" customHeight="1">
      <x:c r="A210" s="80" t="str">
        <x:v>NUTFT-036</x:v>
      </x:c>
      <x:c r="B210" s="80" t="str">
        <x:v>NutFT protocol and operations</x:v>
      </x:c>
      <x:c r="C210" s="80" t="str">
        <x:v>Wallet/deck receives catalog metadata containing</x:v>
      </x:c>
      <x:c r="D210" s="80" t="str">
        <x:v>As a wallet/deck receives catalog metadata containing, I can keep metadata declarative and non-executable.</x:v>
      </x:c>
      <x:c r="E210" s="80" t="str">
        <x:v>UI renders text/image only; metadata cannot execute</x:v>
      </x:c>
      <x:c r="F210" s="80" t="str">
        <x:v>/wallet.html and /nutft/*</x:v>
      </x:c>
      <x:c r="G210" s="80" t="str">
        <x:v>Wallet/deck receives catalog metadata containing</x:v>
      </x:c>
      <x:c r="H210" s="80" t="str">
        <x:v>UI renders text/image only; metadata cannot execute</x:v>
      </x:c>
      <x:c r="I210" s="80" t="str">
        <x:v>No explicit payload/XSS fixture found. marked is used</x:v>
      </x:c>
      <x:c r="J210" s="80" t="str">
        <x:v>Not Run</x:v>
      </x:c>
      <x:c r="K210" s="80" t="str">
        <x:v>Not Run</x:v>
      </x:c>
      <x:c r="L210" s="80"/>
      <x:c r="M210" s="80"/>
      <x:c r="N210" s="80" t="str">
        <x:v>Observed; add malicious metadata regression test.</x:v>
      </x:c>
      <x:c r="O210" s="80" t="str">
        <x:v>site/wallet.html:101-138; site/deck.html:311-334;</x:v>
      </x:c>
    </x:row>
    <x:row r="211" ht="21.600000381469727" hidden="0" customHeight="1">
      <x:c r="A211" s="80" t="str">
        <x:v>NUTFT-037</x:v>
      </x:c>
      <x:c r="B211" s="80" t="str">
        <x:v>NutFT protocol and operations</x:v>
      </x:c>
      <x:c r="C211" s="80" t="str">
        <x:v>Operator starts the mint with a Cashu mint URL,</x:v>
      </x:c>
      <x:c r="D211" s="80" t="str">
        <x:v>As an operator starts the mint with a cashu mint url,, I can configure Cashu funding safely.</x:v>
      </x:c>
      <x:c r="E211" s="80" t="str">
        <x:v>Funding requires HTTPS (except explicit local test</x:v>
      </x:c>
      <x:c r="F211" s="80" t="str">
        <x:v>/wallet.html and /nutft/*</x:v>
      </x:c>
      <x:c r="G211" s="80" t="str">
        <x:v>Operator starts the mint with a Cashu mint URL,</x:v>
      </x:c>
      <x:c r="H211" s="80" t="str">
        <x:v>Funding requires HTTPS (except explicit local test</x:v>
      </x:c>
      <x:c r="I211" s="80" t="str">
        <x:v>tests/js/nutft.test.mjs:488-594 covers virtual-sat</x:v>
      </x:c>
      <x:c r="J211" s="80" t="str">
        <x:v>Not Run</x:v>
      </x:c>
      <x:c r="K211" s="80" t="str">
        <x:v>Not Run</x:v>
      </x:c>
      <x:c r="L211" s="80"/>
      <x:c r="M211" s="80"/>
      <x:c r="N211" s="80" t="str">
        <x:v>Covered guards; verify startup refuses all unsafe paid</x:v>
      </x:c>
      <x:c r="O211" s="80" t="str">
        <x:v>server/funding-cashu.js:46-133; mint wiring</x:v>
      </x:c>
    </x:row>
    <x:row r="212" ht="21.600000381469727" hidden="0" customHeight="1">
      <x:c r="A212" s="80" t="str">
        <x:v>NUTFT-038</x:v>
      </x:c>
      <x:c r="B212" s="80" t="str">
        <x:v>NutFT protocol and operations</x:v>
      </x:c>
      <x:c r="C212" s="80" t="str">
        <x:v>Buyer invoice is paid</x:v>
      </x:c>
      <x:c r="D212" s="80" t="str">
        <x:v>As a buyer invoice is paid, I can collect paid Cashu quote once and sweep safely.</x:v>
      </x:c>
      <x:c r="E212" s="80" t="str">
        <x:v>Collector single-flights by payment hash, obtains and</x:v>
      </x:c>
      <x:c r="F212" s="80" t="str">
        <x:v>/wallet.html and /nutft/*</x:v>
      </x:c>
      <x:c r="G212" s="80" t="str">
        <x:v>Buyer invoice is paid; funding collector can query</x:v>
      </x:c>
      <x:c r="H212" s="80" t="str">
        <x:v>Collector single-flights by payment hash, obtains and</x:v>
      </x:c>
      <x:c r="I212" s="80" t="str">
        <x:v>tests/js/nutft.test.mjs:643-747 covers pay/never-return</x:v>
      </x:c>
      <x:c r="J212" s="80" t="str">
        <x:v>Not Run</x:v>
      </x:c>
      <x:c r="K212" s="80" t="str">
        <x:v>Not Run</x:v>
      </x:c>
      <x:c r="L212" s="80"/>
      <x:c r="M212" s="80"/>
      <x:c r="N212" s="80" t="str">
        <x:v>Covered happy/retry path; suspected crash-consistency</x:v>
      </x:c>
      <x:c r="O212" s="80" t="str">
        <x:v>server/funding-cashu.js:138-222.</x:v>
      </x:c>
    </x:row>
    <x:row r="213" ht="21.600000381469727" hidden="0" customHeight="1">
      <x:c r="A213" s="80" t="str">
        <x:v>NUTFT-039</x:v>
      </x:c>
      <x:c r="B213" s="80" t="str">
        <x:v>NutFT protocol and operations</x:v>
      </x:c>
      <x:c r="C213" s="80" t="str">
        <x:v>Operator accidentally enables Cashu funding without</x:v>
      </x:c>
      <x:c r="D213" s="80" t="str">
        <x:v>As an operator accidentally enables cashu funding without, I can refuse no-database funding before accepting payment.</x:v>
      </x:c>
      <x:c r="E213" s="80" t="str">
        <x:v>Startup/quote creation refuses paid operation with an</x:v>
      </x:c>
      <x:c r="F213" s="80" t="str">
        <x:v>/wallet.html and /nutft/*</x:v>
      </x:c>
      <x:c r="G213" s="80" t="str">
        <x:v>Operator accidentally enables Cashu funding without</x:v>
      </x:c>
      <x:c r="H213" s="80" t="str">
        <x:v>Startup/quote creation refuses paid operation with an</x:v>
      </x:c>
      <x:c r="I213" s="80" t="str">
        <x:v>tests/js/nutft.test.mjs:562-594 only covers no-DB</x:v>
      </x:c>
      <x:c r="J213" s="80" t="str">
        <x:v>Not Run</x:v>
      </x:c>
      <x:c r="K213" s="80" t="str">
        <x:v>Not Run</x:v>
      </x:c>
      <x:c r="L213" s="80"/>
      <x:c r="M213" s="80"/>
      <x:c r="N213" s="80" t="str">
        <x:v>Suspected critical funds/logistics defect.</x:v>
      </x:c>
      <x:c r="O213" s="80" t="str">
        <x:v>server/funding-cashu.js:158-178,212-218.</x:v>
      </x:c>
    </x:row>
    <x:row r="214" ht="21.600000381469727" hidden="0" customHeight="1">
      <x:c r="A214" s="80" t="str">
        <x:v>NUTFT-040</x:v>
      </x:c>
      <x:c r="B214" s="80" t="str">
        <x:v>NutFT protocol and operations</x:v>
      </x:c>
      <x:c r="C214" s="80" t="str">
        <x:v>Buyer views mint shop before and after tier</x:v>
      </x:c>
      <x:c r="D214" s="80" t="str">
        <x:v>As a buyer views mint shop before and after tier, I can disclose price ladder and finite supply.</x:v>
      </x:c>
      <x:c r="E214" s="80" t="str">
        <x:v>UI displays the current exact price, future tier</x:v>
      </x:c>
      <x:c r="F214" s="80" t="str">
        <x:v>/wallet.html and /nutft/*</x:v>
      </x:c>
      <x:c r="G214" s="80" t="str">
        <x:v>Buyer views mint shop before and after tier</x:v>
      </x:c>
      <x:c r="H214" s="80" t="str">
        <x:v>UI displays the current exact price, future tier</x:v>
      </x:c>
      <x:c r="I214" s="80" t="str">
        <x:v>tests/js/nutft.test.mjs:749-806 covers price ladder;</x:v>
      </x:c>
      <x:c r="J214" s="80" t="str">
        <x:v>Not Run</x:v>
      </x:c>
      <x:c r="K214" s="80" t="str">
        <x:v>Not Run</x:v>
      </x:c>
      <x:c r="L214" s="80"/>
      <x:c r="M214" s="80"/>
      <x:c r="N214" s="80" t="str">
        <x:v>Suspected medium buyer-expectation/logistics defect.</x:v>
      </x:c>
      <x:c r="O214" s="80" t="str">
        <x:v>server/nutft-mint.js:166-186,678-683; shop</x:v>
      </x:c>
    </x:row>
    <x:row r="215" ht="21.600000381469727" hidden="0" customHeight="1">
      <x:c r="A215" s="80" t="str">
        <x:v>NUTFT-041</x:v>
      </x:c>
      <x:c r="B215" s="80" t="str">
        <x:v>NutFT protocol and operations</x:v>
      </x:c>
      <x:c r="C215" s="80" t="str">
        <x:v>Sender trades a proof to a recipient</x:v>
      </x:c>
      <x:c r="D215" s="80" t="str">
        <x:v>As a sender trades a proof to a recipient, I can preserve exact catalog/reference across trades.</x:v>
      </x:c>
      <x:c r="E215" s="80" t="str">
        <x:v>Server rejects any changed binding/asset/ref without</x:v>
      </x:c>
      <x:c r="F215" s="80" t="str">
        <x:v>/wallet.html and /nutft/*</x:v>
      </x:c>
      <x:c r="G215" s="80" t="str">
        <x:v>Sender trades a proof to a recipient; attacker</x:v>
      </x:c>
      <x:c r="H215" s="80" t="str">
        <x:v>Server rejects any changed binding/asset/ref without</x:v>
      </x:c>
      <x:c r="I215" s="80" t="str">
        <x:v>tests/js/nutft.test.mjs:163-210 covers replacement and</x:v>
      </x:c>
      <x:c r="J215" s="80" t="str">
        <x:v>Not Run</x:v>
      </x:c>
      <x:c r="K215" s="80" t="str">
        <x:v>Not Run</x:v>
      </x:c>
      <x:c r="L215" s="80"/>
      <x:c r="M215" s="80"/>
      <x:c r="N215" s="80" t="str">
        <x:v>Covered default; add an explicit URI mutation test.</x:v>
      </x:c>
      <x:c r="O215" s="80" t="str">
        <x:v>server/nutft-mint.js:628-664; binding</x:v>
      </x:c>
    </x:row>
    <x:row r="216" ht="21.600000381469727" hidden="0" customHeight="1">
      <x:c r="A216" s="80" t="str">
        <x:v>NUTFT-042</x:v>
      </x:c>
      <x:c r="B216" s="80" t="str">
        <x:v>NutFT protocol and operations</x:v>
      </x:c>
      <x:c r="C216" s="80" t="str">
        <x:v>Mint receives output opening or trade destination</x:v>
      </x:c>
      <x:c r="D216" s="80" t="str">
        <x:v>As a mint receives output opening or trade destination, I can enforce P2BK recipient and key relationship.</x:v>
      </x:c>
      <x:c r="E216" s="80" t="str">
        <x:v>Recipient must be a valid P2BK point; wallet signs</x:v>
      </x:c>
      <x:c r="F216" s="80" t="str">
        <x:v>/wallet.html and /nutft/*</x:v>
      </x:c>
      <x:c r="G216" s="80" t="str">
        <x:v>Mint receives output opening or trade destination</x:v>
      </x:c>
      <x:c r="H216" s="80" t="str">
        <x:v>Recipient must be a valid P2BK point; wallet signs</x:v>
      </x:c>
      <x:c r="I216" s="80" t="str">
        <x:v>tests/js/nutft.test.mjs:112-210 covers point and trade</x:v>
      </x:c>
      <x:c r="J216" s="80" t="str">
        <x:v>Not Run</x:v>
      </x:c>
      <x:c r="K216" s="80" t="str">
        <x:v>Not Run</x:v>
      </x:c>
      <x:c r="L216" s="80"/>
      <x:c r="M216" s="80"/>
      <x:c r="N216" s="80" t="str">
        <x:v>Protocol/UX gap; overlaps NUTFT-024.</x:v>
      </x:c>
      <x:c r="O216" s="80" t="str">
        <x:v>site/nutft-wallet.js:364-399; server</x:v>
      </x:c>
    </x:row>
    <x:row r="217" ht="21.600000381469727" hidden="0" customHeight="1">
      <x:c r="A217" s="80" t="str">
        <x:v>NUTFT-043</x:v>
      </x:c>
      <x:c r="B217" s="80" t="str">
        <x:v>NutFT protocol and operations</x:v>
      </x:c>
      <x:c r="C217" s="80" t="str">
        <x:v>Adversarial token/output has malformed canonical</x:v>
      </x:c>
      <x:c r="D217" s="80" t="str">
        <x:v>As an adversarial token/output has malformed canonical, I can reject malformed secrets, points, and proof state.</x:v>
      </x:c>
      <x:c r="E217" s="80" t="str">
        <x:v>Parser rejects with no state mutation and an explicit</x:v>
      </x:c>
      <x:c r="F217" s="80" t="str">
        <x:v>/wallet.html and /nutft/*</x:v>
      </x:c>
      <x:c r="G217" s="80" t="str">
        <x:v>Adversarial token/output has malformed canonical</x:v>
      </x:c>
      <x:c r="H217" s="80" t="str">
        <x:v>Parser rejects with no state mutation and an explicit</x:v>
      </x:c>
      <x:c r="I217" s="80" t="str">
        <x:v>tests/js/nutft.test.mjs:112-210,596-640 covers many</x:v>
      </x:c>
      <x:c r="J217" s="80" t="str">
        <x:v>Not Run</x:v>
      </x:c>
      <x:c r="K217" s="80" t="str">
        <x:v>Not Run</x:v>
      </x:c>
      <x:c r="L217" s="80"/>
      <x:c r="M217" s="80"/>
      <x:c r="N217" s="80" t="str">
        <x:v>Partly covered; see NUTFT-019, 024, 027, 023.</x:v>
      </x:c>
      <x:c r="O217" s="80" t="str">
        <x:v>server/nutft-mint.js:497-534; wallet</x:v>
      </x:c>
    </x:row>
    <x:row r="218" ht="21.600000381469727" hidden="0" customHeight="1">
      <x:c r="A218" s="80" t="str">
        <x:v>NUTFT-044</x:v>
      </x:c>
      <x:c r="B218" s="80" t="str">
        <x:v>NutFT protocol and operations</x:v>
      </x:c>
      <x:c r="C218" s="80" t="str">
        <x:v>Public endpoint receives malformed JSON, oversized</x:v>
      </x:c>
      <x:c r="D218" s="80" t="str">
        <x:v>As a public endpoint receives malformed json, oversized, I can bound request size, errors, and abuse controls.</x:v>
      </x:c>
      <x:c r="E218" s="80" t="str">
        <x:v>Body limit rejects early, errors are typed (auth,</x:v>
      </x:c>
      <x:c r="F218" s="80" t="str">
        <x:v>/wallet.html and /nutft/*</x:v>
      </x:c>
      <x:c r="G218" s="80" t="str">
        <x:v>Public endpoint receives malformed JSON, oversized</x:v>
      </x:c>
      <x:c r="H218" s="80" t="str">
        <x:v>Body limit rejects early, errors are typed (auth,</x:v>
      </x:c>
      <x:c r="I218" s="80" t="str">
        <x:v>Existing tests cover body/ID/path safety indirectly;</x:v>
      </x:c>
      <x:c r="J218" s="80" t="str">
        <x:v>Not Run</x:v>
      </x:c>
      <x:c r="K218" s="80" t="str">
        <x:v>Not Run</x:v>
      </x:c>
      <x:c r="L218" s="80"/>
      <x:c r="M218" s="80"/>
      <x:c r="N218" s="80" t="str">
        <x:v>Suspected operational/UX gap; needs deployment-level</x:v>
      </x:c>
      <x:c r="O218" s="80" t="str">
        <x:v>server/nutft-mint.js:37-66,666-761; deployment/security docs</x:v>
      </x:c>
    </x:row>
    <x:row r="219" ht="21.600000381469727" hidden="0" customHeight="1">
      <x:c r="A219" s="80" t="str">
        <x:v>NUTFT-045</x:v>
      </x:c>
      <x:c r="B219" s="80" t="str">
        <x:v>NutFT protocol and operations</x:v>
      </x:c>
      <x:c r="C219" s="80" t="str">
        <x:v>Paid mint runs with an optional chain beacon,</x:v>
      </x:c>
      <x:c r="D219" s="80" t="str">
        <x:v>As a paid mint runs with an optional chain beacon,, I can keep beacon/funding fairness consistent.</x:v>
      </x:c>
      <x:c r="E219" s="80" t="str">
        <x:v>A paid quote commits to one immutable beacon/block; the</x:v>
      </x:c>
      <x:c r="F219" s="80" t="str">
        <x:v>/wallet.html and /nutft/*</x:v>
      </x:c>
      <x:c r="G219" s="80" t="str">
        <x:v>Paid mint runs with an optional chain beacon,</x:v>
      </x:c>
      <x:c r="H219" s="80" t="str">
        <x:v>A paid quote commits to one immutable beacon/block; the</x:v>
      </x:c>
      <x:c r="I219" s="80" t="str">
        <x:v>tests/js/nutft.test.mjs:339-423,488-546 covers sealed</x:v>
      </x:c>
      <x:c r="J219" s="80" t="str">
        <x:v>Not Run</x:v>
      </x:c>
      <x:c r="K219" s="80" t="str">
        <x:v>Not Run</x:v>
      </x:c>
      <x:c r="L219" s="80"/>
      <x:c r="M219" s="80"/>
      <x:c r="N219" s="80" t="str">
        <x:v>Suspected high paid-logistics/protocol defect.</x:v>
      </x:c>
      <x:c r="O219" s="80" t="str">
        <x:v>server/nutft-mint.js:247-285,336-353,389-472,551-626; default</x:v>
      </x:c>
    </x:row>
    <x:row r="220" ht="21.600000381469727" hidden="0" customHeight="1">
      <x:c r="A220" s="80" t="str">
        <x:v>NUTFT-046</x:v>
      </x:c>
      <x:c r="B220" s="80" t="str">
        <x:v>NutFT protocol and operations</x:v>
      </x:c>
      <x:c r="C220" s="80" t="str">
        <x:v>Browser storage contains corrupt JSON, malformed</x:v>
      </x:c>
      <x:c r="D220" s="80" t="str">
        <x:v>As a browser storage contains corrupt json, malformed, I can keep local storage, token, and history corruption recoverable.</x:v>
      </x:c>
      <x:c r="E220" s="80" t="str">
        <x:v>App rejects only corrupt item, preserves usable data,</x:v>
      </x:c>
      <x:c r="F220" s="80" t="str">
        <x:v>/wallet.html and /nutft/*</x:v>
      </x:c>
      <x:c r="G220" s="80" t="str">
        <x:v>Browser storage contains corrupt JSON, malformed</x:v>
      </x:c>
      <x:c r="H220" s="80" t="str">
        <x:v>App rejects only corrupt item, preserves usable data,</x:v>
      </x:c>
      <x:c r="I220" s="80" t="str">
        <x:v>tests/js/nutft.test.mjs:66-109 covers corrupt wallet</x:v>
      </x:c>
      <x:c r="J220" s="80" t="str">
        <x:v>Not Run</x:v>
      </x:c>
      <x:c r="K220" s="80" t="str">
        <x:v>Not Run</x:v>
      </x:c>
      <x:c r="L220" s="80"/>
      <x:c r="M220" s="80"/>
      <x:c r="N220" s="80" t="str">
        <x:v>Suspected medium recovery UX gap.</x:v>
      </x:c>
      <x:c r="O220" s="80" t="str">
        <x:v>site/shop.js:123-185; wallet</x:v>
      </x:c>
    </x:row>
    <x:row r="221" ht="21.600000381469727" hidden="0" customHeight="1">
      <x:c r="A221" s="80" t="str">
        <x:v>PUB-ARENA-001</x:v>
      </x:c>
      <x:c r="B221" s="80" t="str">
        <x:v>Arena redirect</x:v>
      </x:c>
      <x:c r="C221" s="80" t="str">
        <x:v>visitor</x:v>
      </x:c>
      <x:c r="D221" s="80" t="str">
        <x:v>As a visitor, I can wait without interacting.</x:v>
      </x:c>
      <x:c r="E221" s="80" t="str">
        <x:v>A countdown appears, then location.replace('play.html') opens the live table without adding the retired signpost as a history stop</x:v>
      </x:c>
      <x:c r="F221" s="80" t="str">
        <x:v>Visitor with a stale Arena bookmark</x:v>
      </x:c>
      <x:c r="G221" s="80" t="str">
        <x:v>arena.html loads with JavaScript enabled</x:v>
      </x:c>
      <x:c r="H221" s="80" t="str">
        <x:v>Wait without interacting</x:v>
      </x:c>
      <x:c r="I221" s="80" t="str">
        <x:v>tests/test_repo_structure.py:8-26 only checks file list; no redirect test</x:v>
      </x:c>
      <x:c r="J221" s="80" t="str">
        <x:v>Not Run</x:v>
      </x:c>
      <x:c r="K221" s="80" t="str">
        <x:v>Not Run</x:v>
      </x:c>
      <x:c r="L221" s="80"/>
      <x:c r="M221" s="80"/>
      <x:c r="N221" s="80" t="str">
        <x:v>Implemented; timeout navigation is not browser-tested</x:v>
      </x:c>
      <x:c r="O221" s="80" t="str">
        <x:v>site/arena.html:98-119, 129-168</x:v>
      </x:c>
    </x:row>
    <x:row r="222" ht="21.600000381469727" hidden="0" customHeight="1">
      <x:c r="A222" s="80" t="str">
        <x:v>PUB-ARENA-002</x:v>
      </x:c>
      <x:c r="B222" s="80" t="str">
        <x:v>Arena redirect</x:v>
      </x:c>
      <x:c r="C222" s="80" t="str">
        <x:v>visitor</x:v>
      </x:c>
      <x:c r="D222" s="80" t="str">
        <x:v>As a visitor, I can click, tap, scroll, wheel or press a key before countdown ends.</x:v>
      </x:c>
      <x:c r="E222" s="80" t="str">
        <x:v>Countdown cancels, page says it is staying, and Go to table / Quick start buttons remain usable</x:v>
      </x:c>
      <x:c r="F222" s="80" t="str">
        <x:v>Visitor wanting to read the retirement notice</x:v>
      </x:c>
      <x:c r="G222" s="80" t="str">
        <x:v>Arena signpost is visible</x:v>
      </x:c>
      <x:c r="H222" s="80" t="str">
        <x:v>Click, tap, scroll, wheel or press a key before countdown ends</x:v>
      </x:c>
      <x:c r="I222" s="80" t="str">
        <x:v>No dedicated browser test</x:v>
      </x:c>
      <x:c r="J222" s="80" t="str">
        <x:v>Not Run</x:v>
      </x:c>
      <x:c r="K222" s="80" t="str">
        <x:v>Not Run</x:v>
      </x:c>
      <x:c r="L222" s="80"/>
      <x:c r="M222" s="80"/>
      <x:c r="N222" s="80" t="str">
        <x:v>Implemented; “any interaction” includes incidental keyboard focus by design</x:v>
      </x:c>
      <x:c r="O222" s="80" t="str">
        <x:v>site/arena.html:161-178</x:v>
      </x:c>
    </x:row>
    <x:row r="223" ht="15" hidden="0" customHeight="1">
      <x:c r="A223" s="80" t="str">
        <x:v>PUB-ARENA-003</x:v>
      </x:c>
      <x:c r="B223" s="80" t="str">
        <x:v>Arena redirect</x:v>
      </x:c>
      <x:c r="C223" s="80" t="str">
        <x:v>visitor</x:v>
      </x:c>
      <x:c r="D223" s="80" t="str">
        <x:v>As a visitor, I can open arena.html.</x:v>
      </x:c>
      <x:c r="E223" s="80" t="str">
        <x:v>Noscript meta refresh sends the visitor to play.html; canonical link also identifies the live table</x:v>
      </x:c>
      <x:c r="F223" s="80" t="str">
        <x:v>No-JavaScript visitor</x:v>
      </x:c>
      <x:c r="G223" s="80" t="str">
        <x:v>Browser has scripting disabled</x:v>
      </x:c>
      <x:c r="H223" s="80" t="str">
        <x:v>Open arena.html</x:v>
      </x:c>
      <x:c r="I223" s="80" t="str">
        <x:v>No dedicated test</x:v>
      </x:c>
      <x:c r="J223" s="80" t="str">
        <x:v>Not Run</x:v>
      </x:c>
      <x:c r="K223" s="80" t="str">
        <x:v>Not Run</x:v>
      </x:c>
      <x:c r="L223" s="80"/>
      <x:c r="M223" s="80"/>
      <x:c r="N223" s="80" t="str">
        <x:v>Implemented; meta-refresh behavior depends on browser settings</x:v>
      </x:c>
      <x:c r="O223" s="80" t="str">
        <x:v>site/arena.html:9-16</x:v>
      </x:c>
    </x:row>
    <x:row r="224" ht="21.600000381469727" hidden="0" customHeight="1">
      <x:c r="A224" s="80" t="str">
        <x:v>PUB-ARENA-004</x:v>
      </x:c>
      <x:c r="B224" s="80" t="str">
        <x:v>Arena redirect</x:v>
      </x:c>
      <x:c r="C224" s="80" t="str">
        <x:v>visitor</x:v>
      </x:c>
      <x:c r="D224" s="80" t="str">
        <x:v>As a visitor, I can allow auto hop to run.</x:v>
      </x:c>
      <x:c r="E224" s="80" t="str">
        <x:v>Page retries plain assignment and, if still present, explains that the shell kept it here and points to the manual Go to table button</x:v>
      </x:c>
      <x:c r="F224" s="80" t="str">
        <x:v>Shell refusing location rewrite</x:v>
      </x:c>
      <x:c r="G224" s="80" t="str">
        <x:v>Napplet/shell declines location.replace or assignment</x:v>
      </x:c>
      <x:c r="H224" s="80" t="str">
        <x:v>Allow auto hop to run</x:v>
      </x:c>
      <x:c r="I224" s="80" t="str">
        <x:v>No dedicated browser/shell test</x:v>
      </x:c>
      <x:c r="J224" s="80" t="str">
        <x:v>Not Run</x:v>
      </x:c>
      <x:c r="K224" s="80" t="str">
        <x:v>Not Run</x:v>
      </x:c>
      <x:c r="L224" s="80"/>
      <x:c r="M224" s="80"/>
      <x:c r="N224" s="80" t="str">
        <x:v>Implemented; fallback message appears after navigation attempts and needs shell evidence</x:v>
      </x:c>
      <x:c r="O224" s="80" t="str">
        <x:v>site/arena.html:129-159</x:v>
      </x:c>
    </x:row>
    <x:row r="225" ht="21.600000381469727" hidden="0" customHeight="1">
      <x:c r="A225" s="80" t="str">
        <x:v>PUB-CARDS-001</x:v>
      </x:c>
      <x:c r="B225" s="80" t="str">
        <x:v>Card gallery</x:v>
      </x:c>
      <x:c r="C225" s="80" t="str">
        <x:v>visitor</x:v>
      </x:c>
      <x:c r="D225" s="80" t="str">
        <x:v>As a visitor, I can view the initial gallery.</x:v>
      </x:c>
      <x:c r="E225" s="80" t="str">
        <x:v>296 tiles (295 Edition One + one promo) render with stable ID, rarity, name, type/affinity, cost, rules and flavor; counter announces 296 cards</x:v>
      </x:c>
      <x:c r="F225" s="80" t="str">
        <x:v>Card catalog visitor</x:v>
      </x:c>
      <x:c r="G225" s="80" t="str">
        <x:v>cards.html loads; catalog data is inline</x:v>
      </x:c>
      <x:c r="H225" s="80" t="str">
        <x:v>View the initial gallery</x:v>
      </x:c>
      <x:c r="I225" s="80" t="str">
        <x:v>tests/test_gallery.py:11-58</x:v>
      </x:c>
      <x:c r="J225" s="80" t="str">
        <x:v>Not Run</x:v>
      </x:c>
      <x:c r="K225" s="80" t="str">
        <x:v>Not Run</x:v>
      </x:c>
      <x:c r="L225" s="80"/>
      <x:c r="M225" s="80"/>
      <x:c r="N225" s="80" t="str">
        <x:v>Implemented; generated data counts and visible controls agree in source</x:v>
      </x:c>
      <x:c r="O225" s="80" t="str">
        <x:v>site/cards.html:454-465, 535-563, 610-658, 867-920, 982-987</x:v>
      </x:c>
    </x:row>
    <x:row r="226" ht="21.600000381469727" hidden="0" customHeight="1">
      <x:c r="A226" s="80" t="str">
        <x:v>PUB-CARDS-002</x:v>
      </x:c>
      <x:c r="B226" s="80" t="str">
        <x:v>Card gallery</x:v>
      </x:c>
      <x:c r="C226" s="80" t="str">
        <x:v>visitor</x:v>
      </x:c>
      <x:c r="D226" s="80" t="str">
        <x:v>As a visitor, I can type one or more terms, including name, ID, rules, flavor, type or tag.</x:v>
      </x:c>
      <x:c r="E226" s="80" t="str">
        <x:v>Search is case-insensitive, splits on whitespace, and requires every term to occur in the card haystack; counter/empty state/clear button update live and URL is queued</x:v>
      </x:c>
      <x:c r="F226" s="80" t="str">
        <x:v>Visitor searching cards</x:v>
      </x:c>
      <x:c r="G226" s="80" t="str">
        <x:v>Gallery loaded</x:v>
      </x:c>
      <x:c r="H226" s="80" t="str">
        <x:v>Type one or more terms, including name, ID, rules, flavor, type or tag</x:v>
      </x:c>
      <x:c r="I226" s="80" t="str">
        <x:v>tests/test_gallery.py:11-58 covers generated data only; no browser test</x:v>
      </x:c>
      <x:c r="J226" s="80" t="str">
        <x:v>Not Run</x:v>
      </x:c>
      <x:c r="K226" s="80" t="str">
        <x:v>Not Run</x:v>
      </x:c>
      <x:c r="L226" s="80"/>
      <x:c r="M226" s="80"/>
      <x:c r="N226" s="80" t="str">
        <x:v>Implemented; no debounce means each keystroke renders the full 296-card set (possible performance check, not yet a defect)</x:v>
      </x:c>
      <x:c r="O226" s="80" t="str">
        <x:v>site/cards.html:458-465, 652-658, 924-987, 1245-1250</x:v>
      </x:c>
    </x:row>
    <x:row r="227" ht="21.600000381469727" hidden="0" customHeight="1">
      <x:c r="A227" s="80" t="str">
        <x:v>PUB-CARDS-003</x:v>
      </x:c>
      <x:c r="B227" s="80" t="str">
        <x:v>Card gallery</x:v>
      </x:c>
      <x:c r="C227" s="80" t="str">
        <x:v>visitor</x:v>
      </x:c>
      <x:c r="D227" s="80" t="str">
        <x:v>As a visitor, I can choose type, cost, rarity, printing and one or more affinity chips.</x:v>
      </x:c>
      <x:c r="E227" s="80" t="str">
        <x:v>Filters combine with AND across facet groups; multiple affinity chips are OR within affinity; selected chips expose aria-pressed; counter and empty state update</x:v>
      </x:c>
      <x:c r="F227" s="80" t="str">
        <x:v>Visitor filtering by structured facets</x:v>
      </x:c>
      <x:c r="G227" s="80" t="str">
        <x:v>Gallery loaded</x:v>
      </x:c>
      <x:c r="H227" s="80" t="str">
        <x:v>Choose type, cost, rarity, printing and one or more affinity chips</x:v>
      </x:c>
      <x:c r="I227" s="80" t="str">
        <x:v>tests/test_gallery.py:31-58 verifies 295+promo source records; no browser test</x:v>
      </x:c>
      <x:c r="J227" s="80" t="str">
        <x:v>Not Run</x:v>
      </x:c>
      <x:c r="K227" s="80" t="str">
        <x:v>Not Run</x:v>
      </x:c>
      <x:c r="L227" s="80"/>
      <x:c r="M227" s="80"/>
      <x:c r="N227" s="80" t="str">
        <x:v>Implemented</x:v>
      </x:c>
      <x:c r="O227" s="80" t="str">
        <x:v>site/cards.html:477-542, 924-937, 989-999, 1251-1266</x:v>
      </x:c>
    </x:row>
    <x:row r="228" ht="21.600000381469727" hidden="0" customHeight="1">
      <x:c r="A228" s="80" t="str">
        <x:v>PUB-CARDS-004</x:v>
      </x:c>
      <x:c r="B228" s="80" t="str">
        <x:v>Card gallery</x:v>
      </x:c>
      <x:c r="C228" s="80" t="str">
        <x:v>visitor</x:v>
      </x:c>
      <x:c r="D228" s="80" t="str">
        <x:v>As a visitor, I can select set number, name, cost or rarity sort.</x:v>
      </x:c>
      <x:c r="E228" s="80" t="str">
        <x:v>Visible matching tiles reorder deterministically, with card ID as tie-breaker; initial order is set-number order</x:v>
      </x:c>
      <x:c r="F228" s="80" t="str">
        <x:v>Visitor sorting cards</x:v>
      </x:c>
      <x:c r="G228" s="80" t="str">
        <x:v>Gallery loaded</x:v>
      </x:c>
      <x:c r="H228" s="80" t="str">
        <x:v>Select set number, name, cost or rarity sort</x:v>
      </x:c>
      <x:c r="I228" s="80" t="str">
        <x:v>No dedicated browser test</x:v>
      </x:c>
      <x:c r="J228" s="80" t="str">
        <x:v>Not Run</x:v>
      </x:c>
      <x:c r="K228" s="80" t="str">
        <x:v>Not Run</x:v>
      </x:c>
      <x:c r="L228" s="80"/>
      <x:c r="M228" s="80"/>
      <x:c r="N228" s="80" t="str">
        <x:v>Implemented; sorting remains in URL state even though isFiltered() does not treat sort as a filter (intentional/ambiguous)</x:v>
      </x:c>
      <x:c r="O228" s="80" t="str">
        <x:v>site/cards.html:525-533, 939-954, 963-987</x:v>
      </x:c>
    </x:row>
    <x:row r="229" ht="21.600000381469727" hidden="0" customHeight="1">
      <x:c r="A229" s="80" t="str">
        <x:v>PUB-CARDS-005</x:v>
      </x:c>
      <x:c r="B229" s="80" t="str">
        <x:v>Card gallery</x:v>
      </x:c>
      <x:c r="C229" s="80" t="str">
        <x:v>visitor</x:v>
      </x:c>
      <x:c r="D229" s="80" t="str">
        <x:v>As a visitor, I can activate Clear.</x:v>
      </x:c>
      <x:c r="E229" s="80" t="str">
        <x:v>Search, affinity, type, cost, rarity and printing reset; tiles/counter return to all cards and URL removes those parameters; sort is retained</x:v>
      </x:c>
      <x:c r="F229" s="80" t="str">
        <x:v>Visitor clearing filters</x:v>
      </x:c>
      <x:c r="G229" s="80" t="str">
        <x:v>At least one query/facet is active</x:v>
      </x:c>
      <x:c r="H229" s="80" t="str">
        <x:v>Activate Clear</x:v>
      </x:c>
      <x:c r="I229" s="80" t="str">
        <x:v>No dedicated browser test</x:v>
      </x:c>
      <x:c r="J229" s="80" t="str">
        <x:v>Not Run</x:v>
      </x:c>
      <x:c r="K229" s="80" t="str">
        <x:v>Not Run</x:v>
      </x:c>
      <x:c r="L229" s="80"/>
      <x:c r="M229" s="80"/>
      <x:c r="N229" s="80" t="str">
        <x:v>Implemented; retaining sort may surprise users who interpret “Clear” as reset-all (D-PUB-004, low UX ambiguity)</x:v>
      </x:c>
      <x:c r="O229" s="80" t="str">
        <x:v>site/cards.html:956-987, 1061-1070</x:v>
      </x:c>
    </x:row>
    <x:row r="230" ht="21.600000381469727" hidden="0" customHeight="1">
      <x:c r="A230" s="80" t="str">
        <x:v>PUB-CARDS-006</x:v>
      </x:c>
      <x:c r="B230" s="80" t="str">
        <x:v>Card gallery</x:v>
      </x:c>
      <x:c r="C230" s="80" t="str">
        <x:v>visitor</x:v>
      </x:c>
      <x:c r="D230" s="80" t="str">
        <x:v>As a visitor, I can activate Text cards/Card art toggle.</x:v>
      </x:c>
      <x:c r="E230" s="80" t="str">
        <x:v>All cards switch between lazily-rendered artwork and accessible text faces containing name, type, affinity, cost, rules, ID and rarity; preference is remembered through adapter storage when available</x:v>
      </x:c>
      <x:c r="F230" s="80" t="str">
        <x:v>Visitor choosing artwork or text cards</x:v>
      </x:c>
      <x:c r="G230" s="80" t="str">
        <x:v>Gallery loaded; art may be reachable</x:v>
      </x:c>
      <x:c r="H230" s="80" t="str">
        <x:v>Activate Text cards/Card art toggle</x:v>
      </x:c>
      <x:c r="I230" s="80" t="str">
        <x:v>tests/js/napplet.test.mjs:64-94 covers storage; no gallery browser test</x:v>
      </x:c>
      <x:c r="J230" s="80" t="str">
        <x:v>Not Run</x:v>
      </x:c>
      <x:c r="K230" s="80" t="str">
        <x:v>Not Run</x:v>
      </x:c>
      <x:c r="L230" s="80"/>
      <x:c r="M230" s="80"/>
      <x:c r="N230" s="80" t="str">
        <x:v>Implemented; when shell resource is absent, toggle is disabled and explains that text mode is forced</x:v>
      </x:c>
      <x:c r="O230" s="80" t="str">
        <x:v>site/cards.html:557-560, 699-735, 737-775, 1267-1271, 1317-1330</x:v>
      </x:c>
    </x:row>
    <x:row r="231" ht="21.600000381469727" hidden="0" customHeight="1">
      <x:c r="A231" s="80" t="str">
        <x:v>PUB-CARDS-007</x:v>
      </x:c>
      <x:c r="B231" s="80" t="str">
        <x:v>Card gallery</x:v>
      </x:c>
      <x:c r="C231" s="80" t="str">
        <x:v>visitor</x:v>
      </x:c>
      <x:c r="D231" s="80" t="str">
        <x:v>As a visitor, I can scroll/inspect an affected tile.</x:v>
      </x:c>
      <x:c r="E231" s="80" t="str">
        <x:v>Whole gallery remains usable: shell/no-resource starts in text mode with explanation; a per-image error replaces only that tile with a text face; modal hides rendered-card link when text mode is forced</x:v>
      </x:c>
      <x:c r="F231" s="80" t="str">
        <x:v>Visitor with unreachable or missing art</x:v>
      </x:c>
      <x:c r="G231" s="80" t="str">
        <x:v>Gallery loaded; shell may deny resources, network may fail, or one image may be absent</x:v>
      </x:c>
      <x:c r="H231" s="80" t="str">
        <x:v>Scroll/inspect an affected tile</x:v>
      </x:c>
      <x:c r="I231" s="80" t="str">
        <x:v>No dedicated faces/gallery browser test</x:v>
      </x:c>
      <x:c r="J231" s="80" t="str">
        <x:v>Not Run</x:v>
      </x:c>
      <x:c r="K231" s="80" t="str">
        <x:v>Not Run</x:v>
      </x:c>
      <x:c r="L231" s="80"/>
      <x:c r="M231" s="80"/>
      <x:c r="N231" s="80" t="str">
        <x:v>Implemented; fallback state is source-backed but not executed here</x:v>
      </x:c>
      <x:c r="O231" s="80" t="str">
        <x:v>site/cards.html:664-716, 737-758, 1072-1098, 1321-1329</x:v>
      </x:c>
    </x:row>
    <x:row r="232" ht="21.600000381469727" hidden="0" customHeight="1">
      <x:c r="A232" s="80" t="str">
        <x:v>PUB-CARDS-008</x:v>
      </x:c>
      <x:c r="B232" s="80" t="str">
        <x:v>Card gallery</x:v>
      </x:c>
      <x:c r="C232" s="80" t="str">
        <x:v>visitor</x:v>
      </x:c>
      <x:c r="D232" s="80" t="str">
        <x:v>As a visitor, I can left-click/tap the tile.</x:v>
      </x:c>
      <x:c r="E232" s="80" t="str">
        <x:v>Native modal opens with artwork or text face, ID/rarity, metadata, rules text, flavor, simple guide, Protocol Note and primary-source link; card state is written to URL</x:v>
      </x:c>
      <x:c r="F232" s="80" t="str">
        <x:v>Visitor opening card details</x:v>
      </x:c>
      <x:c r="G232" s="80" t="str">
        <x:v>A catalog tile is visible</x:v>
      </x:c>
      <x:c r="H232" s="80" t="str">
        <x:v>Left-click/tap the tile</x:v>
      </x:c>
      <x:c r="I232" s="80" t="str">
        <x:v>No dedicated browser test</x:v>
      </x:c>
      <x:c r="J232" s="80" t="str">
        <x:v>Not Run</x:v>
      </x:c>
      <x:c r="K232" s="80" t="str">
        <x:v>Not Run</x:v>
      </x:c>
      <x:c r="L232" s="80"/>
      <x:c r="M232" s="80"/>
      <x:c r="N232" s="80" t="str">
        <x:v>Implemented</x:v>
      </x:c>
      <x:c r="O232" s="80" t="str">
        <x:v>site/cards.html:867-915, 1072-1115</x:v>
      </x:c>
    </x:row>
    <x:row r="233" ht="21.600000381469727" hidden="0" customHeight="1">
      <x:c r="A233" s="80" t="str">
        <x:v>PUB-CARDS-009</x:v>
      </x:c>
      <x:c r="B233" s="80" t="str">
        <x:v>Card gallery</x:v>
      </x:c>
      <x:c r="C233" s="80" t="str">
        <x:v>visitor</x:v>
      </x:c>
      <x:c r="D233" s="80" t="str">
        <x:v>As a visitor, I can activate Open primary source or Open rendered card.</x:v>
      </x:c>
      <x:c r="E233" s="80" t="str">
        <x:v>Primary source opens in a new tab with noreferrer; rendered face opens only when artwork mode is available and points at the encoded local face path</x:v>
      </x:c>
      <x:c r="F233" s="80" t="str">
        <x:v>Reader following card references</x:v>
      </x:c>
      <x:c r="G233" s="80" t="str">
        <x:v>Card modal is open</x:v>
      </x:c>
      <x:c r="H233" s="80" t="str">
        <x:v>Activate Open primary source or Open rendered card</x:v>
      </x:c>
      <x:c r="I233" s="80" t="str">
        <x:v>No dedicated browser test</x:v>
      </x:c>
      <x:c r="J233" s="80" t="str">
        <x:v>Not Run</x:v>
      </x:c>
      <x:c r="K233" s="80" t="str">
        <x:v>Not Run</x:v>
      </x:c>
      <x:c r="L233" s="80"/>
      <x:c r="M233" s="80"/>
      <x:c r="N233" s="80" t="str">
        <x:v>Implemented; external source availability is outside app control</x:v>
      </x:c>
      <x:c r="O233" s="80" t="str">
        <x:v>site/cards.html:585-594, 1099-1115, 1224-1226</x:v>
      </x:c>
    </x:row>
    <x:row r="234" ht="21.600000381469727" hidden="0" customHeight="1">
      <x:c r="A234" s="80" t="str">
        <x:v>PUB-CARDS-010</x:v>
      </x:c>
      <x:c r="B234" s="80" t="str">
        <x:v>Card gallery</x:v>
      </x:c>
      <x:c r="C234" s="80" t="str">
        <x:v>visitor</x:v>
      </x:c>
      <x:c r="D234" s="80" t="str">
        <x:v>As a visitor, I can activate Copy link.</x:v>
      </x:c>
      <x:c r="E234" s="80" t="str">
        <x:v>Stable cards.html?card=ID is copied without current filter state; success says LINK COPIED; clipboard denial uses a textarea/execCommand fallback and says COPY BLOCKED if that also fails</x:v>
      </x:c>
      <x:c r="F234" s="80" t="str">
        <x:v>Visitor sharing a card</x:v>
      </x:c>
      <x:c r="G234" s="80" t="str">
        <x:v>Card modal is open; clipboard may be permitted or blocked</x:v>
      </x:c>
      <x:c r="H234" s="80" t="str">
        <x:v>Activate Copy link</x:v>
      </x:c>
      <x:c r="I234" s="80" t="str">
        <x:v>No dedicated browser test</x:v>
      </x:c>
      <x:c r="J234" s="80" t="str">
        <x:v>Not Run</x:v>
      </x:c>
      <x:c r="K234" s="80" t="str">
        <x:v>Not Run</x:v>
      </x:c>
      <x:c r="L234" s="80"/>
      <x:c r="M234" s="80"/>
      <x:c r="N234" s="80" t="str">
        <x:v>Implemented; status is visual text in #flash without an explicit live region (D-PUB-005, accessibility suspicion)</x:v>
      </x:c>
      <x:c r="O234" s="80" t="str">
        <x:v>site/cards.html:1117-1178</x:v>
      </x:c>
    </x:row>
    <x:row r="235" ht="21.600000381469727" hidden="0" customHeight="1">
      <x:c r="A235" s="80" t="str">
        <x:v>PUB-CARDS-011</x:v>
      </x:c>
      <x:c r="B235" s="80" t="str">
        <x:v>Card gallery</x:v>
      </x:c>
      <x:c r="C235" s="80" t="str">
        <x:v>visitor</x:v>
      </x:c>
      <x:c r="D235" s="80" t="str">
        <x:v>As a visitor, I can right-click tile or activate its ⋯ menu.</x:v>
      </x:c>
      <x:c r="E235" s="80" t="str">
        <x:v>Context menu is prevented and opens near pointer/anchor; actions include copy link, filter by each affinity, filter by type/rarity and open rendered face; outside click, scroll or resize closes it</x:v>
      </x:c>
      <x:c r="F235" s="80" t="str">
        <x:v>Mouse/touch/keyboard catalog visitor</x:v>
      </x:c>
      <x:c r="G235" s="80" t="str">
        <x:v>A card tile exists</x:v>
      </x:c>
      <x:c r="H235" s="80" t="str">
        <x:v>Right-click tile or activate its ⋯ menu</x:v>
      </x:c>
      <x:c r="I235" s="80" t="str">
        <x:v>No dedicated browser test</x:v>
      </x:c>
      <x:c r="J235" s="80" t="str">
        <x:v>Not Run</x:v>
      </x:c>
      <x:c r="K235" s="80" t="str">
        <x:v>Not Run</x:v>
      </x:c>
      <x:c r="L235" s="80"/>
      <x:c r="M235" s="80"/>
      <x:c r="N235" s="80" t="str">
        <x:v>Implemented; menu positioning needs a viewport-edge visual check</x:v>
      </x:c>
      <x:c r="O235" s="80" t="str">
        <x:v>site/cards.html:893-914, 1180-1243, 1277-1282</x:v>
      </x:c>
    </x:row>
    <x:row r="236" ht="21.600000381469727" hidden="0" customHeight="1">
      <x:c r="A236" s="80" t="str">
        <x:v>PUB-CARDS-012</x:v>
      </x:c>
      <x:c r="B236" s="80" t="str">
        <x:v>Card gallery</x:v>
      </x:c>
      <x:c r="C236" s="80" t="str">
        <x:v>visitor</x:v>
      </x:c>
      <x:c r="D236" s="80" t="str">
        <x:v>As a visitor, I can open or change filters; paste ?card=e1-001 in any case.</x:v>
      </x:c>
      <x:c r="E236" s="80" t="str">
        <x:v>Valid query parameters restore controls and grid; invalid facet values are ignored; card IDs normalize uppercase and open the matching modal while filters remain independent</x:v>
      </x:c>
      <x:c r="F236" s="80" t="str">
        <x:v>Visitor sharing a filtered catalog view or card deep link</x:v>
      </x:c>
      <x:c r="G236" s="80" t="str">
        <x:v>URL may contain q/aff/type/cost/rarity/print/sort/card</x:v>
      </x:c>
      <x:c r="H236" s="80" t="str">
        <x:v>Open or change filters; paste ?card=e1-001 in any case</x:v>
      </x:c>
      <x:c r="I236" s="80" t="str">
        <x:v>No dedicated browser test</x:v>
      </x:c>
      <x:c r="J236" s="80" t="str">
        <x:v>Not Run</x:v>
      </x:c>
      <x:c r="K236" s="80" t="str">
        <x:v>Not Run</x:v>
      </x:c>
      <x:c r="L236" s="80"/>
      <x:c r="M236" s="80"/>
      <x:c r="N236" s="80" t="str">
        <x:v>Implemented; history.replaceState is caught on file: so filters still work but URL sharing may not (documented in source)</x:v>
      </x:c>
      <x:c r="O236" s="80" t="str">
        <x:v>site/cards.html:1001-1059, 1117-1137, 1313-1332</x:v>
      </x:c>
    </x:row>
    <x:row r="237" ht="21.600000381469727" hidden="0" customHeight="1">
      <x:c r="A237" s="80" t="str">
        <x:v>PUB-CARDS-013</x:v>
      </x:c>
      <x:c r="B237" s="80" t="str">
        <x:v>Card gallery</x:v>
      </x:c>
      <x:c r="C237" s="80" t="str">
        <x:v>visitor</x:v>
      </x:c>
      <x:c r="D237" s="80" t="str">
        <x:v>As a visitor, I can load the page.</x:v>
      </x:c>
      <x:c r="E237" s="80" t="str">
        <x:v>Gallery still renders and a short NO CARD &lt;ID&gt; message appears instead of a silent blank/modal failure</x:v>
      </x:c>
      <x:c r="F237" s="80" t="str">
        <x:v>Visitor following a bad card citation</x:v>
      </x:c>
      <x:c r="G237" s="80" t="str">
        <x:v>URL includes an unknown card value</x:v>
      </x:c>
      <x:c r="H237" s="80" t="str">
        <x:v>Load the page</x:v>
      </x:c>
      <x:c r="I237" s="80" t="str">
        <x:v>No dedicated browser test</x:v>
      </x:c>
      <x:c r="J237" s="80" t="str">
        <x:v>Not Run</x:v>
      </x:c>
      <x:c r="K237" s="80" t="str">
        <x:v>Not Run</x:v>
      </x:c>
      <x:c r="L237" s="80"/>
      <x:c r="M237" s="80"/>
      <x:c r="N237" s="80" t="str">
        <x:v>Implemented; message is not marked aria-live, so screen-reader users may miss it (D-PUB-005)</x:v>
      </x:c>
      <x:c r="O237" s="80" t="str">
        <x:v>site/cards.html:1121-1145, 1313-1332</x:v>
      </x:c>
    </x:row>
    <x:row r="238" ht="21.600000381469727" hidden="0" customHeight="1">
      <x:c r="A238" s="80" t="str">
        <x:v>PUB-CARDS-014</x:v>
      </x:c>
      <x:c r="B238" s="80" t="str">
        <x:v>Card gallery</x:v>
      </x:c>
      <x:c r="C238" s="80" t="str">
        <x:v>visitor</x:v>
      </x:c>
      <x:c r="D238" s="80" t="str">
        <x:v>As a visitor, I can press Back/Forward.</x:v>
      </x:c>
      <x:c r="E238" s="80" t="str">
        <x:v>popstate restores controls/grid and opens/closes the card named by the address bar; dialog state and URL stay synchronized</x:v>
      </x:c>
      <x:c r="F238" s="80" t="str">
        <x:v>Visitor using browser Back/Forward</x:v>
      </x:c>
      <x:c r="G238" s="80" t="str">
        <x:v>A filter/modal URL state has changed</x:v>
      </x:c>
      <x:c r="H238" s="80" t="str">
        <x:v>Press Back/Forward</x:v>
      </x:c>
      <x:c r="I238" s="80" t="str">
        <x:v>No dedicated browser test</x:v>
      </x:c>
      <x:c r="J238" s="80" t="str">
        <x:v>Not Run</x:v>
      </x:c>
      <x:c r="K238" s="80" t="str">
        <x:v>Not Run</x:v>
      </x:c>
      <x:c r="L238" s="80"/>
      <x:c r="M238" s="80"/>
      <x:c r="N238" s="80" t="str">
        <x:v>Implemented</x:v>
      </x:c>
      <x:c r="O238" s="80" t="str">
        <x:v>site/cards.html:1272-1293</x:v>
      </x:c>
    </x:row>
    <x:row r="239" ht="21.600000381469727" hidden="0" customHeight="1">
      <x:c r="A239" s="80" t="str">
        <x:v>PUB-CARDS-015</x:v>
      </x:c>
      <x:c r="B239" s="80" t="str">
        <x:v>Card gallery</x:v>
      </x:c>
      <x:c r="C239" s="80" t="str">
        <x:v>visitor</x:v>
      </x:c>
      <x:c r="D239" s="80" t="str">
        <x:v>As a visitor, I can press /, Escape, or native dialog close.</x:v>
      </x:c>
      <x:c r="E239" s="80" t="str">
        <x:v>/ focuses/selects search unless already in a form or dialog; Escape closes menu, closes native dialog through browser behavior, or clears active filters; modal close button/backdrop also close</x:v>
      </x:c>
      <x:c r="F239" s="80" t="str">
        <x:v>Keyboard catalog visitor</x:v>
      </x:c>
      <x:c r="G239" s="80" t="str">
        <x:v>Gallery loaded; dialog/menu may or may not be open</x:v>
      </x:c>
      <x:c r="H239" s="80" t="str">
        <x:v>Press /, Escape, or native dialog close</x:v>
      </x:c>
      <x:c r="I239" s="80" t="str">
        <x:v>No dedicated browser test</x:v>
      </x:c>
      <x:c r="J239" s="80" t="str">
        <x:v>Not Run</x:v>
      </x:c>
      <x:c r="K239" s="80" t="str">
        <x:v>Not Run</x:v>
      </x:c>
      <x:c r="L239" s="80"/>
      <x:c r="M239" s="80"/>
      <x:c r="N239" s="80" t="str">
        <x:v>Implemented; Escape modal behavior is delegated to native &lt;dialog&gt; rather than explicit handler</x:v>
      </x:c>
      <x:c r="O239" s="80" t="str">
        <x:v>site/cards.html:1267-1311; markup site/cards.html:565-597</x:v>
      </x:c>
    </x:row>
    <x:row r="240" ht="21.600000381469727" hidden="0" customHeight="1">
      <x:c r="A240" s="80" t="str">
        <x:v>PUB-CARDS-016</x:v>
      </x:c>
      <x:c r="B240" s="80" t="str">
        <x:v>Card gallery</x:v>
      </x:c>
      <x:c r="C240" s="80" t="str">
        <x:v>visitor</x:v>
      </x:c>
      <x:c r="D240" s="80" t="str">
        <x:v>As a visitor, I can enter a non-matching query/facet.</x:v>
      </x:c>
      <x:c r="E240" s="80" t="str">
        <x:v>Counter becomes 0 OF 296 CARDS, empty state says “No cards match these filters.” and Clear remains available</x:v>
      </x:c>
      <x:c r="F240" s="80" t="str">
        <x:v>Visitor whose filters match nothing</x:v>
      </x:c>
      <x:c r="G240" s="80" t="str">
        <x:v>Any filter/search combination is active</x:v>
      </x:c>
      <x:c r="H240" s="80" t="str">
        <x:v>Enter a non-matching query/facet</x:v>
      </x:c>
      <x:c r="I240" s="80" t="str">
        <x:v>No dedicated browser test</x:v>
      </x:c>
      <x:c r="J240" s="80" t="str">
        <x:v>Not Run</x:v>
      </x:c>
      <x:c r="K240" s="80" t="str">
        <x:v>Not Run</x:v>
      </x:c>
      <x:c r="L240" s="80"/>
      <x:c r="M240" s="80"/>
      <x:c r="N240" s="80" t="str">
        <x:v>Implemented</x:v>
      </x:c>
      <x:c r="O240" s="80" t="str">
        <x:v>site/cards.html:961-987</x:v>
      </x:c>
    </x:row>
    <x:row r="241" ht="21.600000381469727" hidden="0" customHeight="1">
      <x:c r="A241" s="80" t="str">
        <x:v>PUB-CARDS-017</x:v>
      </x:c>
      <x:c r="B241" s="80" t="str">
        <x:v>Card gallery</x:v>
      </x:c>
      <x:c r="C241" s="80" t="str">
        <x:v>visitor</x:v>
      </x:c>
      <x:c r="D241" s="80" t="str">
        <x:v>As a visitor, I can view the proof sheet.</x:v>
      </x:c>
      <x:c r="E241" s="80" t="str">
        <x:v>Page lays out all 296 catalog/promo faces plus shared back with locked metadata, rules/flavor/rarity and set IDs; every image is the shipped render rather than a redraw</x:v>
      </x:c>
      <x:c r="F241" s="80" t="str">
        <x:v>Visitor proofing exact face renders</x:v>
      </x:c>
      <x:c r="G241" s="80" t="str">
        <x:v>e1-card-set.html loads; shipped images exist</x:v>
      </x:c>
      <x:c r="H241" s="80" t="str">
        <x:v>View the proof sheet</x:v>
      </x:c>
      <x:c r="I241" s="80" t="str">
        <x:v>tests/test_build_card_set.py:63-95</x:v>
      </x:c>
      <x:c r="J241" s="80" t="str">
        <x:v>Not Run</x:v>
      </x:c>
      <x:c r="K241" s="80" t="str">
        <x:v>Not Run</x:v>
      </x:c>
      <x:c r="L241" s="80"/>
      <x:c r="M241" s="80"/>
      <x:c r="N241" s="80" t="str">
        <x:v>Static/Implemented; page intentionally has no shared nav, search or runtime fallback</x:v>
      </x:c>
      <x:c r="O241" s="80" t="str">
        <x:v>site/e1-card-set.html:163-179, 180-288; generator scripts/build_card_set.py:768-779</x:v>
      </x:c>
    </x:row>
    <x:row r="242" ht="21.600000381469727" hidden="0" customHeight="1">
      <x:c r="A242" s="80" t="str">
        <x:v>PUB-E1-002</x:v>
      </x:c>
      <x:c r="B242" s="80" t="str">
        <x:v>Proof sheet</x:v>
      </x:c>
      <x:c r="C242" s="80" t="str">
        <x:v>visitor</x:v>
      </x:c>
      <x:c r="D242" s="80" t="str">
        <x:v>As a visitor, I can print the proof sheet.</x:v>
      </x:c>
      <x:c r="E242" s="80" t="str">
        <x:v>@page uses 69×94 mm with margins; intro/meta/group headings hide and each card face prints at 63×88 mm, one card per page with no screen shadows</x:v>
      </x:c>
      <x:c r="F242" s="80" t="str">
        <x:v>Print/proof operator</x:v>
      </x:c>
      <x:c r="G242" s="80" t="str">
        <x:v>Browser print preview is available</x:v>
      </x:c>
      <x:c r="H242" s="80" t="str">
        <x:v>Print the proof sheet</x:v>
      </x:c>
      <x:c r="I242" s="80" t="str">
        <x:v>tests/test_build_card_set.py:86-95 checks print CSS/size tokens; no print visual test</x:v>
      </x:c>
      <x:c r="J242" s="80" t="str">
        <x:v>Not Run</x:v>
      </x:c>
      <x:c r="K242" s="80" t="str">
        <x:v>Not Run</x:v>
      </x:c>
      <x:c r="L242" s="80"/>
      <x:c r="M242" s="80"/>
      <x:c r="N242" s="80" t="str">
        <x:v>Implemented; missing face files show a broken image because .face-missing is styling only and no onerror handler is present (D-PUB-001)</x:v>
      </x:c>
      <x:c r="O242" s="80" t="str">
        <x:v>site/e1-card-set.html:149-159</x:v>
      </x:c>
    </x:row>
    <x:row r="243" ht="21.600000381469727" hidden="0" customHeight="1">
      <x:c r="A243" s="80" t="str">
        <x:v>PUB-FX-001</x:v>
      </x:c>
      <x:c r="B243" s="80" t="str">
        <x:v>FX harness</x:v>
      </x:c>
      <x:c r="C243" s="80" t="str">
        <x:v>visitor</x:v>
      </x:c>
      <x:c r="D243" s="80" t="str">
        <x:v>As a visitor, I can adjust shared parameters (seat, amount, count, affinity, type, phase, card name, note).</x:v>
      </x:c>
      <x:c r="E243" s="80" t="str">
        <x:v>Subsequent event buttons use the current parameter values, including dual affinity and seat aliases; numeric bounds are native input hints and event handlers clamp relevant effects</x:v>
      </x:c>
      <x:c r="F243" s="80" t="str">
        <x:v>Developer/audition operator</x:v>
      </x:c>
      <x:c r="G243" s="80" t="str">
        <x:v>fx-demo.html loads; fx.js is available</x:v>
      </x:c>
      <x:c r="H243" s="80" t="str">
        <x:v>Adjust shared parameters (seat, amount, count, affinity, type, phase, card name, note)</x:v>
      </x:c>
      <x:c r="I243" s="80" t="str">
        <x:v>No FX browser/unit test</x:v>
      </x:c>
      <x:c r="J243" s="80" t="str">
        <x:v>Not Run</x:v>
      </x:c>
      <x:c r="K243" s="80" t="str">
        <x:v>Not Run</x:v>
      </x:c>
      <x:c r="L243" s="80"/>
      <x:c r="M243" s="80"/>
      <x:c r="N243" s="80" t="str">
        <x:v>Implemented; malformed manual text beyond native selects is not a supported input path</x:v>
      </x:c>
      <x:c r="O243" s="80" t="str">
        <x:v>site/fx-demo.html:142-174, 358-376</x:v>
      </x:c>
    </x:row>
    <x:row r="244" ht="21.600000381469727" hidden="0" customHeight="1">
      <x:c r="A244" s="80" t="str">
        <x:v>PUB-FX-002</x:v>
      </x:c>
      <x:c r="B244" s="80" t="str">
        <x:v>FX harness</x:v>
      </x:c>
      <x:c r="C244" s="80" t="str">
        <x:v>visitor</x:v>
      </x:c>
      <x:c r="D244" s="80" t="str">
        <x:v>As a visitor, I can activate any of the generated event-book buttons.</x:v>
      </x:c>
      <x:c r="E244" s="80" t="str">
        <x:v>All 23 FX600.EVENTS names are represented; button dispatches a document CustomEvent('fx'), logs the event and invokes matching audio/motion handlers; count mismatch is logged as a warning</x:v>
      </x:c>
      <x:c r="F244" s="80" t="str">
        <x:v>FX operator</x:v>
      </x:c>
      <x:c r="G244" s="80" t="str">
        <x:v>Harness loaded</x:v>
      </x:c>
      <x:c r="H244" s="80" t="str">
        <x:v>Activate any of the generated event-book buttons</x:v>
      </x:c>
      <x:c r="I244" s="80" t="str">
        <x:v>No dedicated FX test</x:v>
      </x:c>
      <x:c r="J244" s="80" t="str">
        <x:v>Not Run</x:v>
      </x:c>
      <x:c r="K244" s="80" t="str">
        <x:v>Not Run</x:v>
      </x:c>
      <x:c r="L244" s="80"/>
      <x:c r="M244" s="80"/>
      <x:c r="N244" s="80" t="str">
        <x:v>Implemented; only a log warning signals event-book/API drift</x:v>
      </x:c>
      <x:c r="O244" s="80" t="str">
        <x:v>site/fx-demo.html:176-177, 378-460; site/fx.js:66-74, 2826-2842</x:v>
      </x:c>
    </x:row>
    <x:row r="245" ht="32.400001525878906" hidden="0" customHeight="1">
      <x:c r="A245" s="80" t="str">
        <x:v>PUB-FX-003</x:v>
      </x:c>
      <x:c r="B245" s="80" t="str">
        <x:v>FX harness</x:v>
      </x:c>
      <x:c r="C245" s="80" t="str">
        <x:v>visitor</x:v>
      </x:c>
      <x:c r="D245" s="80" t="str">
        <x:v>As a visitor, I can use event buttons and board controls.</x:v>
      </x:c>
      <x:c r="E245" s="80" t="str">
        <x:v>Mock board shows two seats, Uptime, stack/archive counts, wallet/network zones, phase ribbon, prompt and committed/attacking/blocking/targetable card states; Continue emits priority pass and End turn emits turn begin</x:v>
      </x:c>
      <x:c r="F245" s="80" t="str">
        <x:v>FX operator inspecting visual state</x:v>
      </x:c>
      <x:c r="G245" s="80" t="str">
        <x:v>Harness loaded</x:v>
      </x:c>
      <x:c r="H245" s="80" t="str">
        <x:v>Use event buttons and board controls</x:v>
      </x:c>
      <x:c r="I245" s="80" t="str">
        <x:v>No dedicated FX browser test</x:v>
      </x:c>
      <x:c r="J245" s="80" t="str">
        <x:v>Not Run</x:v>
      </x:c>
      <x:c r="K245" s="80" t="str">
        <x:v>Not Run</x:v>
      </x:c>
      <x:c r="L245" s="80"/>
      <x:c r="M245" s="80"/>
      <x:c r="N245" s="80" t="str">
        <x:v>Implemented; board is deliberately mock data and does not mutate game rules</x:v>
      </x:c>
      <x:c r="O245" s="80" t="str">
        <x:v>site/fx-demo.html:197-230, 462-467; site/fx.js:1869-2289</x:v>
      </x:c>
    </x:row>
    <x:row r="246" ht="32.400001525878906" hidden="0" customHeight="1">
      <x:c r="A246" s="80" t="str">
        <x:v>PUB-FX-004</x:v>
      </x:c>
      <x:c r="B246" s="80" t="str">
        <x:v>FX harness</x:v>
      </x:c>
      <x:c r="C246" s="80" t="str">
        <x:v>visitor</x:v>
      </x:c>
      <x:c r="D246" s="80" t="str">
        <x:v>As a visitor, I can activate Run a scripted turn.</x:v>
      </x:c>
      <x:c r="E246" s="80" t="str">
        <x:v>Sequence clears buffers, emits start/turn/phases/draw/build/resource/ability/target/clash/damage/burn/cleanup/win events in timed order; starting again cancels prior timers and restarts cleanly</x:v>
      </x:c>
      <x:c r="F246" s="80" t="str">
        <x:v>FX operator auditioning an end-to-end turn</x:v>
      </x:c>
      <x:c r="G246" s="80" t="str">
        <x:v>Harness loaded; user interaction arms audio</x:v>
      </x:c>
      <x:c r="H246" s="80" t="str">
        <x:v>Activate Run a scripted turn</x:v>
      </x:c>
      <x:c r="I246" s="80" t="str">
        <x:v>No dedicated FX test</x:v>
      </x:c>
      <x:c r="J246" s="80" t="str">
        <x:v>Not Run</x:v>
      </x:c>
      <x:c r="K246" s="80" t="str">
        <x:v>Not Run</x:v>
      </x:c>
      <x:c r="L246" s="80"/>
      <x:c r="M246" s="80"/>
      <x:c r="N246" s="80" t="str">
        <x:v>Implemented; baseline must check timer pacing and no duplicate audio</x:v>
      </x:c>
      <x:c r="O246" s="80" t="str">
        <x:v>site/fx-demo.html:469-548; site/fx.js:2294-2477</x:v>
      </x:c>
    </x:row>
    <x:row r="247" ht="21.600000381469727" hidden="0" customHeight="1">
      <x:c r="A247" s="80" t="str">
        <x:v>PUB-FX-005</x:v>
      </x:c>
      <x:c r="B247" s="80" t="str">
        <x:v>FX harness</x:v>
      </x:c>
      <x:c r="C247" s="80" t="str">
        <x:v>visitor</x:v>
      </x:c>
      <x:c r="D247" s="80" t="str">
        <x:v>As a visitor, I can activate Stress: 9 × damage:avatar.</x:v>
      </x:c>
      <x:c r="E247" s="80" t="str">
        <x:v>Nine damage events are emitted in one scheduler frame, batched motion/audio respects caps, and nine damage chips are logged</x:v>
      </x:c>
      <x:c r="F247" s="80" t="str">
        <x:v>FX stress operator</x:v>
      </x:c>
      <x:c r="G247" s="80" t="str">
        <x:v>Harness loaded</x:v>
      </x:c>
      <x:c r="H247" s="80" t="str">
        <x:v>Activate Stress: 9 × damage:avatar</x:v>
      </x:c>
      <x:c r="I247" s="80" t="str">
        <x:v>No dedicated FX test</x:v>
      </x:c>
      <x:c r="J247" s="80" t="str">
        <x:v>Not Run</x:v>
      </x:c>
      <x:c r="K247" s="80" t="str">
        <x:v>Not Run</x:v>
      </x:c>
      <x:c r="L247" s="80"/>
      <x:c r="M247" s="80"/>
      <x:c r="N247" s="80" t="str">
        <x:v>Implemented; cap/animation evidence is visible in telemetry only</x:v>
      </x:c>
      <x:c r="O247" s="80" t="str">
        <x:v>site/fx-demo.html:550-560; site/fx.js:2353-2387, 2640-2660</x:v>
      </x:c>
    </x:row>
    <x:row r="248" ht="21.600000381469727" hidden="0" customHeight="1">
      <x:c r="A248" s="80" t="str">
        <x:v>PUB-FX-006</x:v>
      </x:c>
      <x:c r="B248" s="80" t="str">
        <x:v>FX harness</x:v>
      </x:c>
      <x:c r="C248" s="80" t="str">
        <x:v>visitor</x:v>
      </x:c>
      <x:c r="D248" s="80" t="str">
        <x:v>As a visitor, I can activate Stop everything.</x:v>
      </x:c>
      <x:c r="E248" s="80" t="str">
        <x:v>Timers, voices, hold/clash tones, loops, animations and queued events stop/clear without throwing; log records stopAll</x:v>
      </x:c>
      <x:c r="F248" s="80" t="str">
        <x:v>FX operator aborting activity</x:v>
      </x:c>
      <x:c r="G248" s="80" t="str">
        <x:v>A scripted turn, audio, rings or animations may be active</x:v>
      </x:c>
      <x:c r="H248" s="80" t="str">
        <x:v>Activate Stop everything</x:v>
      </x:c>
      <x:c r="I248" s="80" t="str">
        <x:v>No dedicated FX test</x:v>
      </x:c>
      <x:c r="J248" s="80" t="str">
        <x:v>Not Run</x:v>
      </x:c>
      <x:c r="K248" s="80" t="str">
        <x:v>Not Run</x:v>
      </x:c>
      <x:c r="L248" s="80"/>
      <x:c r="M248" s="80"/>
      <x:c r="N248" s="80" t="str">
        <x:v>Implemented</x:v>
      </x:c>
      <x:c r="O248" s="80" t="str">
        <x:v>site/fx-demo.html:561; site/fx.js:2640-2683</x:v>
      </x:c>
    </x:row>
    <x:row r="249" ht="21.600000381469727" hidden="0" customHeight="1">
      <x:c r="A249" s="80" t="str">
        <x:v>PUB-FX-007</x:v>
      </x:c>
      <x:c r="B249" s="80" t="str">
        <x:v>FX harness</x:v>
      </x:c>
      <x:c r="C249" s="80" t="str">
        <x:v>visitor</x:v>
      </x:c>
      <x:c r="D249" s="80" t="str">
        <x:v>As a visitor, I can drag buffer slider or use buffer event.</x:v>
      </x:c>
      <x:c r="E249" s="80" t="str">
        <x:v>Buffer readout follows the slider, buffer:set targets active seat, pressure drone is silent at zero and increases with unspent Resources; burn event clears mock pips after its animation</x:v>
      </x:c>
      <x:c r="F249" s="80" t="str">
        <x:v>FX operator testing Buffer pressure</x:v>
      </x:c>
      <x:c r="G249" s="80" t="str">
        <x:v>Harness loaded; pressure checkbox is on by default</x:v>
      </x:c>
      <x:c r="H249" s="80" t="str">
        <x:v>Drag buffer slider or use buffer event</x:v>
      </x:c>
      <x:c r="I249" s="80" t="str">
        <x:v>No dedicated FX test</x:v>
      </x:c>
      <x:c r="J249" s="80" t="str">
        <x:v>Not Run</x:v>
      </x:c>
      <x:c r="K249" s="80" t="str">
        <x:v>Not Run</x:v>
      </x:c>
      <x:c r="L249" s="80"/>
      <x:c r="M249" s="80"/>
      <x:c r="N249" s="80" t="str">
        <x:v>Implemented; source documents a graceful delta-tracking ceiling when host does not emit authoritative buffer:set</x:v>
      </x:c>
      <x:c r="O249" s="80" t="str">
        <x:v>site/fx-demo.html:179-195, 411-421, 563-568; site/fx.js:709-728, 999-1041, 2396-2405</x:v>
      </x:c>
    </x:row>
    <x:row r="250" ht="32.400001525878906" hidden="0" customHeight="1">
      <x:c r="A250" s="80" t="str">
        <x:v>PUB-FX-008</x:v>
      </x:c>
      <x:c r="B250" s="80" t="str">
        <x:v>FX harness</x:v>
      </x:c>
      <x:c r="C250" s="80" t="str">
        <x:v>visitor</x:v>
      </x:c>
      <x:c r="D250" s="80" t="str">
        <x:v>As a visitor, I can toggle mute/volume/motion, press M, toggle ambient bed or pressure drone.</x:v>
      </x:c>
      <x:c r="E250" s="80" t="str">
        <x:v>FX controls expose accessible mute/volume/motion settings; M toggles mute outside form fields; bed and pressure can be independently enabled; settings persist under 600b.fx.v1; reduced-motion preference is honored</x:v>
      </x:c>
      <x:c r="F250" s="80" t="str">
        <x:v>FX operator controlling sound/motion</x:v>
      </x:c>
      <x:c r="G250" s="80" t="str">
        <x:v>Harness loaded; first pointer/key interaction may be required by browser</x:v>
      </x:c>
      <x:c r="H250" s="80" t="str">
        <x:v>Toggle mute/volume/motion, press M, toggle ambient bed or pressure drone</x:v>
      </x:c>
      <x:c r="I250" s="80" t="str">
        <x:v>No dedicated FX test</x:v>
      </x:c>
      <x:c r="J250" s="80" t="str">
        <x:v>Not Run</x:v>
      </x:c>
      <x:c r="K250" s="80" t="str">
        <x:v>Not Run</x:v>
      </x:c>
      <x:c r="L250" s="80"/>
      <x:c r="M250" s="80"/>
      <x:c r="N250" s="80" t="str">
        <x:v>Implemented; Web Audio availability/policy failure is guarded but untested</x:v>
      </x:c>
      <x:c r="O250" s="80" t="str">
        <x:v>site/fx-demo.html:248-256; site/fx.js:127-149, 2483-2567, 2613-2638, 2766-2800</x:v>
      </x:c>
    </x:row>
    <x:row r="251" ht="21.600000381469727" hidden="0" customHeight="1">
      <x:c r="A251" s="80" t="str">
        <x:v>PUB-FX-009</x:v>
      </x:c>
      <x:c r="B251" s="80" t="str">
        <x:v>FX harness</x:v>
      </x:c>
      <x:c r="C251" s="80" t="str">
        <x:v>visitor</x:v>
      </x:c>
      <x:c r="D251" s="80" t="str">
        <x:v>As a visitor, I can observe Live state and FPS canvas while events run.</x:v>
      </x:c>
      <x:c r="E251" s="80" t="str">
        <x:v>Readouts show voices/24, animations/32, context state, buffer total, active seat and motion; frame graph reports average/worst ms, fps and additive-composite support</x:v>
      </x:c>
      <x:c r="F251" s="80" t="str">
        <x:v>FX operator monitoring runtime health</x:v>
      </x:c>
      <x:c r="G251" s="80" t="str">
        <x:v>Harness loaded</x:v>
      </x:c>
      <x:c r="H251" s="80" t="str">
        <x:v>Observe Live state and FPS canvas while events run</x:v>
      </x:c>
      <x:c r="I251" s="80" t="str">
        <x:v>No dedicated FX test</x:v>
      </x:c>
      <x:c r="J251" s="80" t="str">
        <x:v>Not Run</x:v>
      </x:c>
      <x:c r="K251" s="80" t="str">
        <x:v>Not Run</x:v>
      </x:c>
      <x:c r="L251" s="80"/>
      <x:c r="M251" s="80"/>
      <x:c r="N251" s="80" t="str">
        <x:v>Suspected UX D-PUB-007: initial zero-filled history makes the first FPS text report avg 0.0 ms (Infinity fps) until enough frames arrive</x:v>
      </x:c>
      <x:c r="O251" s="80" t="str">
        <x:v>site/fx-demo.html:233-247, 572-610</x:v>
      </x:c>
    </x:row>
    <x:row r="252" ht="21.600000381469727" hidden="0" customHeight="1">
      <x:c r="A252" s="80" t="str">
        <x:v>PUB-FX-010</x:v>
      </x:c>
      <x:c r="B252" s="80" t="str">
        <x:v>FX harness</x:v>
      </x:c>
      <x:c r="C252" s="80" t="str">
        <x:v>visitor</x:v>
      </x:c>
      <x:c r="D252" s="80" t="str">
        <x:v>As a visitor, I can trigger events/sequences.</x:v>
      </x:c>
      <x:c r="E252" s="80" t="str">
        <x:v>Newest log entries appear first, omit DOM element details, include scalar parameters, and cap at 120 entries</x:v>
      </x:c>
      <x:c r="F252" s="80" t="str">
        <x:v>FX operator auditing event output</x:v>
      </x:c>
      <x:c r="G252" s="80" t="str">
        <x:v>Harness loaded</x:v>
      </x:c>
      <x:c r="H252" s="80" t="str">
        <x:v>Trigger events/sequences</x:v>
      </x:c>
      <x:c r="I252" s="80" t="str">
        <x:v>No dedicated FX test</x:v>
      </x:c>
      <x:c r="J252" s="80" t="str">
        <x:v>Not Run</x:v>
      </x:c>
      <x:c r="K252" s="80" t="str">
        <x:v>Not Run</x:v>
      </x:c>
      <x:c r="L252" s="80"/>
      <x:c r="M252" s="80"/>
      <x:c r="N252" s="80" t="str">
        <x:v>Implemented</x:v>
      </x:c>
      <x:c r="O252" s="80" t="str">
        <x:v>site/fx-demo.html:340-356</x:v>
      </x:c>
    </x:row>
    <x:row r="253" ht="21.600000381469727" hidden="0" customHeight="1">
      <x:c r="A253" s="80" t="str">
        <x:v>PUB-FX-011</x:v>
      </x:c>
      <x:c r="B253" s="80" t="str">
        <x:v>FX harness</x:v>
      </x:c>
      <x:c r="C253" s="80" t="str">
        <x:v>visitor</x:v>
      </x:c>
      <x:c r="D253" s="80" t="str">
        <x:v>As a visitor, I can scroll to Tokens.</x:v>
      </x:c>
      <x:c r="E253" s="80" t="str">
        <x:v>Palette, affinities, durations, easings, staggers, bus gains, caps, phase pitches, Dorian ratios, pitch grid and seat transposition render directly from FX600.TOKENS</x:v>
      </x:c>
      <x:c r="F253" s="80" t="str">
        <x:v>FX operator inspecting design contract</x:v>
      </x:c>
      <x:c r="G253" s="80" t="str">
        <x:v>Harness loaded</x:v>
      </x:c>
      <x:c r="H253" s="80" t="str">
        <x:v>Scroll to Tokens</x:v>
      </x:c>
      <x:c r="I253" s="80" t="str">
        <x:v>No dedicated FX test</x:v>
      </x:c>
      <x:c r="J253" s="80" t="str">
        <x:v>Not Run</x:v>
      </x:c>
      <x:c r="K253" s="80" t="str">
        <x:v>Not Run</x:v>
      </x:c>
      <x:c r="L253" s="80"/>
      <x:c r="M253" s="80"/>
      <x:c r="N253" s="80" t="str">
        <x:v>Static/Implemented</x:v>
      </x:c>
      <x:c r="O253" s="80" t="str">
        <x:v>site/fx-demo.html:265-266, 612-636; site/fx.js:2739-2752</x:v>
      </x:c>
    </x:row>
    <x:row r="254" ht="21.600000381469727" hidden="0" customHeight="1">
      <x:c r="A254" s="80" t="str">
        <x:v>PUB-FX-012</x:v>
      </x:c>
      <x:c r="B254" s="80" t="str">
        <x:v>FX harness</x:v>
      </x:c>
      <x:c r="C254" s="80" t="str">
        <x:v>visitor</x:v>
      </x:c>
      <x:c r="D254" s="80" t="str">
        <x:v>As a visitor, I can trigger an event or change motion setting.</x:v>
      </x:c>
      <x:c r="E254" s="80" t="str">
        <x:v>Audio arm failures are swallowed, visual motion still runs where possible, reduced mode lands end states without long motion, and page remains usable; visibility suspends/resumes audio</x:v>
      </x:c>
      <x:c r="F254" s="80" t="str">
        <x:v>FX operator on browsers without audio or with reduced motion</x:v>
      </x:c>
      <x:c r="G254" s="80" t="str">
        <x:v>Browser denies/omits AudioContext, or OS requests reduced motion/transparency</x:v>
      </x:c>
      <x:c r="H254" s="80" t="str">
        <x:v>Trigger an event or change motion setting</x:v>
      </x:c>
      <x:c r="I254" s="80" t="str">
        <x:v>No dedicated FX test</x:v>
      </x:c>
      <x:c r="J254" s="80" t="str">
        <x:v>Not Run</x:v>
      </x:c>
      <x:c r="K254" s="80" t="str">
        <x:v>Not Run</x:v>
      </x:c>
      <x:c r="L254" s="80"/>
      <x:c r="M254" s="80"/>
      <x:c r="N254" s="80" t="str">
        <x:v>Implemented by defensive guards; needs browser matrix evidence</x:v>
      </x:c>
      <x:c r="O254" s="80" t="str">
        <x:v>site/fx.js:800-861, 1290-1307, 2573-2638</x:v>
      </x:c>
    </x:row>
    <x:row r="255" ht="32.400001525878906" hidden="0" customHeight="1">
      <x:c r="A255" s="80" t="str">
        <x:v>PUB-INDEX-001</x:v>
      </x:c>
      <x:c r="B255" s="80" t="str">
        <x:v>Home</x:v>
      </x:c>
      <x:c r="C255" s="80" t="str">
        <x:v>visitor</x:v>
      </x:c>
      <x:c r="D255" s="80" t="str">
        <x:v>As a visitor, I can read the hero, promises, stats, resources and first “Start here” doors; activate a CTA.</x:v>
      </x:c>
      <x:c r="E255" s="80" t="str">
        <x:v>Page explains free browser play/no account/download, shows 295 cards/11 stacks/5 resources/0 permissions, and routes to local Play, Quick start, Stacks, online play, Shop, Cards plus Rules/Lore/Leaderboard</x:v>
      </x:c>
      <x:c r="F255" s="80" t="str">
        <x:v>New visitor discovering the product</x:v>
      </x:c>
      <x:c r="G255" s="80" t="str">
        <x:v>index.html loads</x:v>
      </x:c>
      <x:c r="H255" s="80" t="str">
        <x:v>Read the hero, promises, stats, resources and first “Start here” doors; activate a CTA</x:v>
      </x:c>
      <x:c r="I255" s="80" t="str">
        <x:v>tests/test_repo_structure.py:38-46 checks landing links/art; no browser test</x:v>
      </x:c>
      <x:c r="J255" s="80" t="str">
        <x:v>Not Run</x:v>
      </x:c>
      <x:c r="K255" s="80" t="str">
        <x:v>Not Run</x:v>
      </x:c>
      <x:c r="L255" s="80"/>
      <x:c r="M255" s="80"/>
      <x:c r="N255" s="80" t="str">
        <x:v>Static/Implemented; all CTA destinations are source-linked but not navigated in this audit</x:v>
      </x:c>
      <x:c r="O255" s="80" t="str">
        <x:v>site/index.html:332-414; site/index.html:415-620</x:v>
      </x:c>
    </x:row>
    <x:row r="256" ht="32.400001525878906" hidden="0" customHeight="1">
      <x:c r="A256" s="80" t="str">
        <x:v>PUB-INDEX-002</x:v>
      </x:c>
      <x:c r="B256" s="80" t="str">
        <x:v>Home</x:v>
      </x:c>
      <x:c r="C256" s="80" t="str">
        <x:v>visitor</x:v>
      </x:c>
      <x:c r="D256" s="80" t="str">
        <x:v>As a visitor, I can click, press Enter, or press Space on the card back.</x:v>
      </x:c>
      <x:c r="E256" s="80" t="str">
        <x:v>A different random Edition One face is assigned, card flips and aria-pressed becomes true; activating again hides it; after 5 seconds it flips back and aria-pressed becomes false; the same button is keyboard-operable</x:v>
      </x:c>
      <x:c r="F256" s="80" t="str">
        <x:v>Curious visitor interacting with the hero card</x:v>
      </x:c>
      <x:c r="G256" s="80" t="str">
        <x:v>Hero is loaded; flip button is focused or clickable</x:v>
      </x:c>
      <x:c r="H256" s="80" t="str">
        <x:v>Click, press Enter, or press Space on the card back</x:v>
      </x:c>
      <x:c r="I256" s="80" t="str">
        <x:v>No dedicated browser test</x:v>
      </x:c>
      <x:c r="J256" s="80" t="str">
        <x:v>Not Run</x:v>
      </x:c>
      <x:c r="K256" s="80" t="str">
        <x:v>Not Run</x:v>
      </x:c>
      <x:c r="L256" s="80"/>
      <x:c r="M256" s="80"/>
      <x:c r="N256" s="80" t="str">
        <x:v>Implemented; randomness means a single run cannot assert a specific face, only state/asset validity</x:v>
      </x:c>
      <x:c r="O256" s="80" t="str">
        <x:v>site/index.html:123-179, 681-713, 716-735</x:v>
      </x:c>
    </x:row>
    <x:row r="257" ht="21.600000381469727" hidden="0" customHeight="1">
      <x:c r="A257" s="80" t="str">
        <x:v>PUB-INDEX-003</x:v>
      </x:c>
      <x:c r="B257" s="80" t="str">
        <x:v>Home</x:v>
      </x:c>
      <x:c r="C257" s="80" t="str">
        <x:v>visitor</x:v>
      </x:c>
      <x:c r="D257" s="80" t="str">
        <x:v>As a visitor, I can allow the teaser or flip-card image to error.</x:v>
      </x:c>
      <x:c r="E257" s="80" t="str">
        <x:v>Teaser/flip face falls back to the shipped card back once; no infinite error loop is created; the decorative face never leaves the expected broken-image state when the back exists</x:v>
      </x:c>
      <x:c r="F257" s="80" t="str">
        <x:v>Visitor with a missing teaser/hero face asset</x:v>
      </x:c>
      <x:c r="G257" s="80" t="str">
        <x:v>An image request fails</x:v>
      </x:c>
      <x:c r="H257" s="80" t="str">
        <x:v>Allow the teaser or flip-card image to error</x:v>
      </x:c>
      <x:c r="I257" s="80" t="str">
        <x:v>No dedicated browser test</x:v>
      </x:c>
      <x:c r="J257" s="80" t="str">
        <x:v>Not Run</x:v>
      </x:c>
      <x:c r="K257" s="80" t="str">
        <x:v>Not Run</x:v>
      </x:c>
      <x:c r="L257" s="80"/>
      <x:c r="M257" s="80"/>
      <x:c r="N257" s="80" t="str">
        <x:v>Implemented; if the card-back asset itself is missing, the code has no second fallback (D-PUB-001, low logistics risk)</x:v>
      </x:c>
      <x:c r="O257" s="80" t="str">
        <x:v>site/index.html:621-640</x:v>
      </x:c>
    </x:row>
    <x:row r="258" ht="32.400001525878906" hidden="0" customHeight="1">
      <x:c r="A258" s="80" t="str">
        <x:v>PUB-INDEX-004</x:v>
      </x:c>
      <x:c r="B258" s="80" t="str">
        <x:v>Home</x:v>
      </x:c>
      <x:c r="C258" s="80" t="str">
        <x:v>visitor</x:v>
      </x:c>
      <x:c r="D258" s="80" t="str">
        <x:v>As a visitor, I can activate “Sign in with Nostr”.</x:v>
      </x:c>
      <x:c r="E258" s="80" t="str">
        <x:v>With a valid shell/NIP-07 key, button disappears, profile chip appears with a shortened npub, default “Nostrich” until profile data arrives, and optional name/avatar when a relay returns kind-0 data; the page remains usable without sign-in</x:v>
      </x:c>
      <x:c r="F258" s="80" t="str">
        <x:v>Visitor choosing optional Nostr identity</x:v>
      </x:c>
      <x:c r="G258" s="80" t="str">
        <x:v>napplet.js is present; signer may or may not be present</x:v>
      </x:c>
      <x:c r="H258" s="80" t="str">
        <x:v>Activate “Sign in with Nostr”</x:v>
      </x:c>
      <x:c r="I258" s="80" t="str">
        <x:v>tests/js/napplet.test.mjs:98-132 covers adapter identity, not page DOM/profile fetch</x:v>
      </x:c>
      <x:c r="J258" s="80" t="str">
        <x:v>Not Run</x:v>
      </x:c>
      <x:c r="K258" s="80" t="str">
        <x:v>Not Run</x:v>
      </x:c>
      <x:c r="L258" s="80"/>
      <x:c r="M258" s="80"/>
      <x:c r="N258" s="80" t="str">
        <x:v>Implemented; profile fetch is best-effort across three relays and is not separately tested</x:v>
      </x:c>
      <x:c r="O258" s="80" t="str">
        <x:v>site/index.html:332-369, 714-813</x:v>
      </x:c>
    </x:row>
    <x:row r="259" ht="21.600000381469727" hidden="0" customHeight="1">
      <x:c r="A259" s="80" t="str">
        <x:v>PUB-INDEX-005</x:v>
      </x:c>
      <x:c r="B259" s="80" t="str">
        <x:v>Home</x:v>
      </x:c>
      <x:c r="C259" s="80" t="str">
        <x:v>visitor</x:v>
      </x:c>
      <x:c r="D259" s="80" t="str">
        <x:v>As a visitor, I can activate sign-in.</x:v>
      </x:c>
      <x:c r="E259" s="80" t="str">
        <x:v>Page does not throw or modal-block; it says either no signer/install guidance or “Sign-in did not complete” with the error, while local hotseat remains available</x:v>
      </x:c>
      <x:c r="F259" s="80" t="str">
        <x:v>Visitor without a signer or with a failed login</x:v>
      </x:c>
      <x:c r="G259" s="80" t="str">
        <x:v>Sign-in button is visible</x:v>
      </x:c>
      <x:c r="H259" s="80" t="str">
        <x:v>Activate sign-in</x:v>
      </x:c>
      <x:c r="I259" s="80" t="str">
        <x:v>tests/js/napplet.test.mjs:119-132 covers adapter rejection only</x:v>
      </x:c>
      <x:c r="J259" s="80" t="str">
        <x:v>Not Run</x:v>
      </x:c>
      <x:c r="K259" s="80" t="str">
        <x:v>Not Run</x:v>
      </x:c>
      <x:c r="L259" s="80"/>
      <x:c r="M259" s="80"/>
      <x:c r="N259" s="80" t="str">
        <x:v>Implemented; exact UI text needs browser evidence</x:v>
      </x:c>
      <x:c r="O259" s="80" t="str">
        <x:v>site/index.html:785-813</x:v>
      </x:c>
    </x:row>
    <x:row r="260" ht="21.600000381469727" hidden="0" customHeight="1">
      <x:c r="A260" s="80" t="str">
        <x:v>PUB-INDEX-006</x:v>
      </x:c>
      <x:c r="B260" s="80" t="str">
        <x:v>Home</x:v>
      </x:c>
      <x:c r="C260" s="80" t="str">
        <x:v>visitor</x:v>
      </x:c>
      <x:c r="D260" s="80" t="str">
        <x:v>As a visitor, I can activate “sign out”.</x:v>
      </x:c>
      <x:c r="E260" s="80" t="str">
        <x:v>Local key is forgotten and sign-in button returns; shell-owned identity is not falsely cleared and instead tells the user to sign out in the shell</x:v>
      </x:c>
      <x:c r="F260" s="80" t="str">
        <x:v>Signed-in visitor signing out</x:v>
      </x:c>
      <x:c r="G260" s="80" t="str">
        <x:v>A local NIP-07 identity is shown, or shell owns identity</x:v>
      </x:c>
      <x:c r="H260" s="80" t="str">
        <x:v>Activate “sign out”</x:v>
      </x:c>
      <x:c r="I260" s="80" t="str">
        <x:v>tests/js/napplet.test.mjs:98-122 covers key persistence/adapter, not this DOM flow</x:v>
      </x:c>
      <x:c r="J260" s="80" t="str">
        <x:v>Not Run</x:v>
      </x:c>
      <x:c r="K260" s="80" t="str">
        <x:v>Not Run</x:v>
      </x:c>
      <x:c r="L260" s="80"/>
      <x:c r="M260" s="80"/>
      <x:c r="N260" s="80" t="str">
        <x:v>Implemented; shell path intentionally leaves the page signed-in</x:v>
      </x:c>
      <x:c r="O260" s="80" t="str">
        <x:v>site/index.html:761-813</x:v>
      </x:c>
    </x:row>
    <x:row r="261" ht="21.600000381469727" hidden="0" customHeight="1">
      <x:c r="A261" s="80" t="str">
        <x:v>PUB-INDEX-007</x:v>
      </x:c>
      <x:c r="B261" s="80" t="str">
        <x:v>Home</x:v>
      </x:c>
      <x:c r="C261" s="80" t="str">
        <x:v>visitor</x:v>
      </x:c>
      <x:c r="D261" s="80" t="str">
        <x:v>As a visitor, I can sign in and wait for profile lookup.</x:v>
      </x:c>
      <x:c r="E261" s="80" t="str">
        <x:v>Identity chip renders immediately with fallback name; relay lookup stops after roughly 4.5 seconds, closes sockets, and never delays page navigation or game use</x:v>
      </x:c>
      <x:c r="F261" s="80" t="str">
        <x:v>Visitor whose profile relays are slow/down</x:v>
      </x:c>
      <x:c r="G261" s="80" t="str">
        <x:v>Valid key is available; WebSocket may be unavailable or silent</x:v>
      </x:c>
      <x:c r="H261" s="80" t="str">
        <x:v>Sign in and wait for profile lookup</x:v>
      </x:c>
      <x:c r="I261" s="80" t="str">
        <x:v>No dedicated browser/network test</x:v>
      </x:c>
      <x:c r="J261" s="80" t="str">
        <x:v>Not Run</x:v>
      </x:c>
      <x:c r="K261" s="80" t="str">
        <x:v>Not Run</x:v>
      </x:c>
      <x:c r="L261" s="80"/>
      <x:c r="M261" s="80"/>
      <x:c r="N261" s="80" t="str">
        <x:v>Implemented; three public relay connections are an external dependency</x:v>
      </x:c>
      <x:c r="O261" s="80" t="str">
        <x:v>site/index.html:741-779</x:v>
      </x:c>
    </x:row>
    <x:row r="262" ht="21.600000381469727" hidden="0" customHeight="1">
      <x:c r="A262" s="80" t="str">
        <x:v>PUB-INDEX-008</x:v>
      </x:c>
      <x:c r="B262" s="80" t="str">
        <x:v>Home</x:v>
      </x:c>
      <x:c r="C262" s="80" t="str">
        <x:v>visitor</x:v>
      </x:c>
      <x:c r="D262" s="80" t="str">
        <x:v>As a visitor, I can scroll through card teaser, three-move turn strip, committed-box explanation and optional zap-duel section.</x:v>
      </x:c>
      <x:c r="E262" s="80" t="str">
        <x:v>Finished card examples, Resources, Uptime/clash loop, free pack/mint-demo/wallet links, and explicit “sats are real money and optional” copy are visible before the final Play/Quick start links</x:v>
      </x:c>
      <x:c r="F262" s="80" t="str">
        <x:v>Visitor learning the game from the landing page</x:v>
      </x:c>
      <x:c r="G262" s="80" t="str">
        <x:v>Page is loaded</x:v>
      </x:c>
      <x:c r="H262" s="80" t="str">
        <x:v>Scroll through card teaser, three-move turn strip, committed-box explanation and optional zap-duel section</x:v>
      </x:c>
      <x:c r="I262" s="80" t="str">
        <x:v>No dedicated browser test</x:v>
      </x:c>
      <x:c r="J262" s="80" t="str">
        <x:v>Not Run</x:v>
      </x:c>
      <x:c r="K262" s="80" t="str">
        <x:v>Not Run</x:v>
      </x:c>
      <x:c r="L262" s="80"/>
      <x:c r="M262" s="80"/>
      <x:c r="N262" s="80" t="str">
        <x:v>Static/Implemented; content consistency with gameplay is a review item, not runtime behavior</x:v>
      </x:c>
      <x:c r="O262" s="80" t="str">
        <x:v>site/index.html:460-620</x:v>
      </x:c>
    </x:row>
    <x:row r="263" ht="15" hidden="0" customHeight="1">
      <x:c r="A263" s="80" t="str">
        <x:v>PUB-INTRO-001</x:v>
      </x:c>
      <x:c r="B263" s="80" t="str">
        <x:v>Intro</x:v>
      </x:c>
      <x:c r="C263" s="80" t="str">
        <x:v>visitor</x:v>
      </x:c>
      <x:c r="D263" s="80" t="str">
        <x:v>As a visitor, I can activate “Play intro”.</x:v>
      </x:c>
      <x:c r="E263" s="80" t="str">
        <x:v>Gate hides, Skip control appears, and film.play() begins from a user gesture so audio policy is satisfied</x:v>
      </x:c>
      <x:c r="F263" s="80" t="str">
        <x:v>First-time visitor at cinematic gate</x:v>
      </x:c>
      <x:c r="G263" s="80" t="str">
        <x:v>intro.html loads; video may be playable</x:v>
      </x:c>
      <x:c r="H263" s="80" t="str">
        <x:v>Activate “Play intro”</x:v>
      </x:c>
      <x:c r="I263" s="80" t="str">
        <x:v>tests/test_repo_structure.py:8-26 only asserts page presence; no browser test</x:v>
      </x:c>
      <x:c r="J263" s="80" t="str">
        <x:v>Not Run</x:v>
      </x:c>
      <x:c r="K263" s="80" t="str">
        <x:v>Not Run</x:v>
      </x:c>
      <x:c r="L263" s="80"/>
      <x:c r="M263" s="80"/>
      <x:c r="N263" s="80" t="str">
        <x:v>Implemented; actual playback depends on browser/video codec</x:v>
      </x:c>
      <x:c r="O263" s="80" t="str">
        <x:v>site/intro.html:72-110</x:v>
      </x:c>
    </x:row>
    <x:row r="264" ht="21.600000381469727" hidden="0" customHeight="1">
      <x:c r="A264" s="80" t="str">
        <x:v>PUB-INTRO-002</x:v>
      </x:c>
      <x:c r="B264" s="80" t="str">
        <x:v>Intro</x:v>
      </x:c>
      <x:c r="C264" s="80" t="str">
        <x:v>visitor</x:v>
      </x:c>
      <x:c r="D264" s="80" t="str">
        <x:v>As a visitor, I can activate Skip-to-site, the visible Skip button, press Escape, or let the film end.</x:v>
      </x:c>
      <x:c r="E264" s="80" t="str">
        <x:v>Browser navigates to index.html; finishing and skipping share the same destination</x:v>
      </x:c>
      <x:c r="F264" s="80" t="str">
        <x:v>Visitor skipping or finishing intro</x:v>
      </x:c>
      <x:c r="G264" s="80" t="str">
        <x:v>Gate/film is visible or playing</x:v>
      </x:c>
      <x:c r="H264" s="80" t="str">
        <x:v>Activate Skip-to-site, the visible Skip button, press Escape, or let the film end</x:v>
      </x:c>
      <x:c r="I264" s="80" t="str">
        <x:v>No dedicated browser test</x:v>
      </x:c>
      <x:c r="J264" s="80" t="str">
        <x:v>Not Run</x:v>
      </x:c>
      <x:c r="K264" s="80" t="str">
        <x:v>Not Run</x:v>
      </x:c>
      <x:c r="L264" s="80"/>
      <x:c r="M264" s="80"/>
      <x:c r="N264" s="80" t="str">
        <x:v>Implemented; redirect is full navigation rather than replace, so Back can return to intro (possible intentional replay behavior)</x:v>
      </x:c>
      <x:c r="O264" s="80" t="str">
        <x:v>site/intro.html:77-87, 98-117</x:v>
      </x:c>
    </x:row>
    <x:row r="265" ht="21.600000381469727" hidden="0" customHeight="1">
      <x:c r="A265" s="80" t="str">
        <x:v>PUB-INTRO-003</x:v>
      </x:c>
      <x:c r="B265" s="80" t="str">
        <x:v>Intro</x:v>
      </x:c>
      <x:c r="C265" s="80" t="str">
        <x:v>visitor</x:v>
      </x:c>
      <x:c r="D265" s="80" t="str">
        <x:v>As a visitor, I can let film.play() reject or media error fire.</x:v>
      </x:c>
      <x:c r="E265" s="80" t="str">
        <x:v>Play rejection exposes native video controls instead of a dead overlay; media error immediately opens the site, preventing a black-screen dead end</x:v>
      </x:c>
      <x:c r="F265" s="80" t="str">
        <x:v>Visitor with autoplay/decode/video failure</x:v>
      </x:c>
      <x:c r="G265" s="80" t="str">
        <x:v>Start was activated, or film emits error</x:v>
      </x:c>
      <x:c r="H265" s="80" t="str">
        <x:v>Let film.play() reject or media error fire</x:v>
      </x:c>
      <x:c r="I265" s="80" t="str">
        <x:v>No dedicated browser test</x:v>
      </x:c>
      <x:c r="J265" s="80" t="str">
        <x:v>Not Run</x:v>
      </x:c>
      <x:c r="K265" s="80" t="str">
        <x:v>Not Run</x:v>
      </x:c>
      <x:c r="L265" s="80"/>
      <x:c r="M265" s="80"/>
      <x:c r="N265" s="80" t="str">
        <x:v>Implemented; media error navigation is not manually verified</x:v>
      </x:c>
      <x:c r="O265" s="80" t="str">
        <x:v>site/intro.html:89-117</x:v>
      </x:c>
    </x:row>
    <x:row r="266" ht="21.600000381469727" hidden="0" customHeight="1">
      <x:c r="A266" s="80" t="str">
        <x:v>PUB-LORE-001</x:v>
      </x:c>
      <x:c r="B266" s="80" t="str">
        <x:v>Lore</x:v>
      </x:c>
      <x:c r="C266" s="80" t="str">
        <x:v>visitor</x:v>
      </x:c>
      <x:c r="D266" s="80" t="str">
        <x:v>As a visitor, I can read number, five tools, runners, story and load-bearing Protocol Notes sections.</x:v>
      </x:c>
      <x:c r="E266" s="80" t="str">
        <x:v>Lore explains Uptime, Power/Bitcoin/Keys/Signal/Timelock, named runners, positive cypherpunk story and links protocol notes to rules; Play/Cards/Quick start/Stack CTAs are present</x:v>
      </x:c>
      <x:c r="F266" s="80" t="str">
        <x:v>Visitor exploring world/lore</x:v>
      </x:c>
      <x:c r="G266" s="80" t="str">
        <x:v>lore.html loads</x:v>
      </x:c>
      <x:c r="H266" s="80" t="str">
        <x:v>Read number, five tools, runners, story and load-bearing Protocol Notes sections</x:v>
      </x:c>
      <x:c r="I266" s="80" t="str">
        <x:v>No dedicated browser test</x:v>
      </x:c>
      <x:c r="J266" s="80" t="str">
        <x:v>Not Run</x:v>
      </x:c>
      <x:c r="K266" s="80" t="str">
        <x:v>Not Run</x:v>
      </x:c>
      <x:c r="L266" s="80"/>
      <x:c r="M266" s="80"/>
      <x:c r="N266" s="80" t="str">
        <x:v>Static/Implemented</x:v>
      </x:c>
      <x:c r="O266" s="80" t="str">
        <x:v>site/lore.html:187-312</x:v>
      </x:c>
    </x:row>
    <x:row r="267" ht="21.600000381469727" hidden="0" customHeight="1">
      <x:c r="A267" s="80" t="str">
        <x:v>PUB-LORE-002</x:v>
      </x:c>
      <x:c r="B267" s="80" t="str">
        <x:v>Lore</x:v>
      </x:c>
      <x:c r="C267" s="80" t="str">
        <x:v>visitor</x:v>
      </x:c>
      <x:c r="D267" s="80" t="str">
        <x:v>As a visitor, I can click any of six faces.</x:v>
      </x:c>
      <x:c r="E267" s="80" t="str">
        <x:v>Each face links to cards.html; card art resolves via Blossom/local fallback; labels/title/alt text identify the runner</x:v>
      </x:c>
      <x:c r="F267" s="80" t="str">
        <x:v>Visitor selecting a named runner</x:v>
      </x:c>
      <x:c r="G267" s="80" t="str">
        <x:v>Lore runner arc is visible and images can load</x:v>
      </x:c>
      <x:c r="H267" s="80" t="str">
        <x:v>Click any of six faces</x:v>
      </x:c>
      <x:c r="I267" s="80" t="str">
        <x:v>No dedicated faces/browser test</x:v>
      </x:c>
      <x:c r="J267" s="80" t="str">
        <x:v>Not Run</x:v>
      </x:c>
      <x:c r="K267" s="80" t="str">
        <x:v>Not Run</x:v>
      </x:c>
      <x:c r="L267" s="80"/>
      <x:c r="M267" s="80"/>
      <x:c r="N267" s="80" t="str">
        <x:v>Implemented; at tiny containers the decorative arc is intentionally hidden while runner descriptions remain</x:v>
      </x:c>
      <x:c r="O267" s="80" t="str">
        <x:v>site/lore.html:234-261, 322-355</x:v>
      </x:c>
    </x:row>
    <x:row r="268" ht="21.600000381469727" hidden="0" customHeight="1">
      <x:c r="A268" s="80" t="str">
        <x:v>PUB-LORE-003</x:v>
      </x:c>
      <x:c r="B268" s="80" t="str">
        <x:v>Lore</x:v>
      </x:c>
      <x:c r="C268" s="80" t="str">
        <x:v>visitor</x:v>
      </x:c>
      <x:c r="D268" s="80" t="str">
        <x:v>As a visitor, I can resize or open Lore in the tiny shape.</x:v>
      </x:c>
      <x:c r="E268" s="80" t="str">
        <x:v>Decorative runner arc and caption disappear to avoid horizontal overflow; tools stack and copy remains available</x:v>
      </x:c>
      <x:c r="F268" s="80" t="str">
        <x:v>Visitor in a tiny napplet panel</x:v>
      </x:c>
      <x:c r="G268" s="80" t="str">
        <x:v>Container is below 360px</x:v>
      </x:c>
      <x:c r="H268" s="80" t="str">
        <x:v>Resize or open Lore in the tiny shape</x:v>
      </x:c>
      <x:c r="I268" s="80" t="str">
        <x:v>tests/js/napplet.test.mjs:211-225 only verifies adapter shape, not CSS</x:v>
      </x:c>
      <x:c r="J268" s="80" t="str">
        <x:v>Not Run</x:v>
      </x:c>
      <x:c r="K268" s="80" t="str">
        <x:v>Not Run</x:v>
      </x:c>
      <x:c r="L268" s="80"/>
      <x:c r="M268" s="80"/>
      <x:c r="N268" s="80" t="str">
        <x:v>Implemented by CSS; needs visual matrix evidence</x:v>
      </x:c>
      <x:c r="O268" s="80" t="str">
        <x:v>site/lore.html:113-166</x:v>
      </x:c>
    </x:row>
    <x:row r="269" ht="21.600000381469727" hidden="0" customHeight="1">
      <x:c r="A269" s="80" t="str">
        <x:v>PUB-QR-001</x:v>
      </x:c>
      <x:c r="B269" s="80" t="str">
        <x:v>QR</x:v>
      </x:c>
      <x:c r="C269" s="80" t="str">
        <x:v>visitor</x:v>
      </x:c>
      <x:c r="D269" s="80" t="str">
        <x:v>As a visitor, I can reach the end-stake invoice UI.</x:v>
      </x:c>
      <x:c r="E269" s="80" t="str">
        <x:v>play.js calls E1QR.svg(invoice,{ec:"M"}); a quiet-zoned, accessible SVG QR is inserted, with encode errors refusing oversize/invalid data rather than truncating an invoice</x:v>
      </x:c>
      <x:c r="F269" s="80" t="str">
        <x:v>Player paying a settlement invoice (cross-link from listed public pages to Play)</x:v>
      </x:c>
      <x:c r="G269" s="80" t="str">
        <x:v>play.html settlement UI has a bolt11 invoice; qr.js loaded</x:v>
      </x:c>
      <x:c r="H269" s="80" t="str">
        <x:v>Reach the end-stake invoice UI</x:v>
      </x:c>
      <x:c r="I269" s="80" t="str">
        <x:v>tests/js/qr.test.mjs:134-217 plus later capacity/error tests</x:v>
      </x:c>
      <x:c r="J269" s="80" t="str">
        <x:v>Not Run</x:v>
      </x:c>
      <x:c r="K269" s="80" t="str">
        <x:v>Not Run</x:v>
      </x:c>
      <x:c r="L269" s="80"/>
      <x:c r="M269" s="80"/>
      <x:c r="N269" s="80" t="str">
        <x:v>Cross-surface note: QR is not loaded by the named static pages themselves; gameplay owner should carry the executable story</x:v>
      </x:c>
      <x:c r="O269" s="80" t="str">
        <x:v>site/play.js:3921-3934; site/qr.js:485-567</x:v>
      </x:c>
    </x:row>
    <x:row r="270" ht="32.400001525878906" hidden="0" customHeight="1">
      <x:c r="A270" s="80" t="str">
        <x:v>PUB-QUICK-001</x:v>
      </x:c>
      <x:c r="B270" s="80" t="str">
        <x:v>Quick start</x:v>
      </x:c>
      <x:c r="C270" s="80" t="str">
        <x:v>visitor</x:v>
      </x:c>
      <x:c r="D270" s="80" t="str">
        <x:v>As a visitor, I can read the six-step onboarding.</x:v>
      </x:c>
      <x:c r="E270" s="80" t="str">
        <x:v>Visitor can learn objective (20 to 0 or empty Stack), eight turn steps, one free Resource, commit/spend/Buffer burn, Avatar Boot Delay and four-beat Clash; rulebook cross-links land on numbered anchors</x:v>
      </x:c>
      <x:c r="F270" s="80" t="str">
        <x:v>New player reading quick start</x:v>
      </x:c>
      <x:c r="G270" s="80" t="str">
        <x:v>quickstart.html loads</x:v>
      </x:c>
      <x:c r="H270" s="80" t="str">
        <x:v>Read the six-step onboarding</x:v>
      </x:c>
      <x:c r="I270" s="80" t="str">
        <x:v>No dedicated browser test; tests/test_repo_structure.py:30-36 protects numeric rule anchors</x:v>
      </x:c>
      <x:c r="J270" s="80" t="str">
        <x:v>Not Run</x:v>
      </x:c>
      <x:c r="K270" s="80" t="str">
        <x:v>Not Run</x:v>
      </x:c>
      <x:c r="L270" s="80"/>
      <x:c r="M270" s="80"/>
      <x:c r="N270" s="80" t="str">
        <x:v>Static/Implemented; claims should be checked against gameplay stories by parent</x:v>
      </x:c>
      <x:c r="O270" s="80" t="str">
        <x:v>site/quickstart.html:216-363</x:v>
      </x:c>
    </x:row>
    <x:row r="271" ht="21.600000381469727" hidden="0" customHeight="1">
      <x:c r="A271" s="80" t="str">
        <x:v>PUB-QUICK-002</x:v>
      </x:c>
      <x:c r="B271" s="80" t="str">
        <x:v>Quick start</x:v>
      </x:c>
      <x:c r="C271" s="80" t="str">
        <x:v>visitor</x:v>
      </x:c>
      <x:c r="D271" s="80" t="str">
        <x:v>As a visitor, I can read the table-control section.</x:v>
      </x:c>
      <x:c r="E271" s="80" t="str">
        <x:v>Continue/End turn, left-click action, right-click/long-press explanation, gallery fallback and ! manual-resolution semantics are stated with Play/Stack/Card links</x:v>
      </x:c>
      <x:c r="F271" s="80" t="str">
        <x:v>New player learning interactions</x:v>
      </x:c>
      <x:c r="G271" s="80" t="str">
        <x:v>Quick start is loaded</x:v>
      </x:c>
      <x:c r="H271" s="80" t="str">
        <x:v>Read the table-control section</x:v>
      </x:c>
      <x:c r="I271" s="80" t="str">
        <x:v>No dedicated browser test</x:v>
      </x:c>
      <x:c r="J271" s="80" t="str">
        <x:v>Not Run</x:v>
      </x:c>
      <x:c r="K271" s="80" t="str">
        <x:v>Not Run</x:v>
      </x:c>
      <x:c r="L271" s="80"/>
      <x:c r="M271" s="80"/>
      <x:c r="N271" s="80" t="str">
        <x:v>Static/Implemented; this story documents instruction, not the actual table controls</x:v>
      </x:c>
      <x:c r="O271" s="80" t="str">
        <x:v>site/quickstart.html:373-413</x:v>
      </x:c>
    </x:row>
    <x:row r="272" ht="21.600000381469727" hidden="0" customHeight="1">
      <x:c r="A272" s="80" t="str">
        <x:v>PUB-QUICK-003</x:v>
      </x:c>
      <x:c r="B272" s="80" t="str">
        <x:v>Quick start</x:v>
      </x:c>
      <x:c r="C272" s="80" t="str">
        <x:v>visitor</x:v>
      </x:c>
      <x:c r="D272" s="80" t="str">
        <x:v>As a visitor, I can scroll each data-face image into view.</x:v>
      </x:c>
      <x:c r="E272" s="80" t="str">
        <x:v>Resolver chooses Blossom when available and local files otherwise; a 4-second missing mirror guard uses local file; any failed face falls back to card back</x:v>
      </x:c>
      <x:c r="F272" s="80" t="str">
        <x:v>Visitor loading quick-start card illustrations</x:v>
      </x:c>
      <x:c r="G272" s="80" t="str">
        <x:v>Page is served or opened via file:; an image may be absent</x:v>
      </x:c>
      <x:c r="H272" s="80" t="str">
        <x:v>Scroll each data-face image into view</x:v>
      </x:c>
      <x:c r="I272" s="80" t="str">
        <x:v>No dedicated faces/browser test</x:v>
      </x:c>
      <x:c r="J272" s="80" t="str">
        <x:v>Not Run</x:v>
      </x:c>
      <x:c r="K272" s="80" t="str">
        <x:v>Not Run</x:v>
      </x:c>
      <x:c r="L272" s="80"/>
      <x:c r="M272" s="80"/>
      <x:c r="N272" s="80" t="str">
        <x:v>Implemented; text says every path ends in a picture, but the card-back itself is still an unhandled final asset failure</x:v>
      </x:c>
      <x:c r="O272" s="80" t="str">
        <x:v>site/quickstart.html:426-458; site/faces.js:77-165</x:v>
      </x:c>
    </x:row>
    <x:row r="273" ht="21.600000381469727" hidden="0" customHeight="1">
      <x:c r="A273" s="80" t="str">
        <x:v>PUB-RULES-001</x:v>
      </x:c>
      <x:c r="B273" s="80" t="str">
        <x:v>Rulebook</x:v>
      </x:c>
      <x:c r="C273" s="80" t="str">
        <x:v>visitor</x:v>
      </x:c>
      <x:c r="D273" s="80" t="str">
        <x:v>As a visitor, I can read the rulebook.</x:v>
      </x:c>
      <x:c r="E273" s="80" t="str">
        <x:v>Full E1 rulebook is available in one page with 25 numbered chapters, card-over-rules principle, tables, keyword glossary, quick reference, terminology map, E1 lock and release note; chapter links are stable IDs</x:v>
      </x:c>
      <x:c r="F273" s="80" t="str">
        <x:v>Player/reference reader</x:v>
      </x:c>
      <x:c r="G273" s="80" t="str">
        <x:v>rules.html loads</x:v>
      </x:c>
      <x:c r="H273" s="80" t="str">
        <x:v>Read the rulebook</x:v>
      </x:c>
      <x:c r="I273" s="80" t="str">
        <x:v>tests/test_repo_structure.py:30-36; generated-source coverage is indirect</x:v>
      </x:c>
      <x:c r="J273" s="80" t="str">
        <x:v>Not Run</x:v>
      </x:c>
      <x:c r="K273" s="80" t="str">
        <x:v>Not Run</x:v>
      </x:c>
      <x:c r="L273" s="80"/>
      <x:c r="M273" s="80"/>
      <x:c r="N273" s="80" t="str">
        <x:v>Static/Implemented; 1,400-line reading experience needs browser/print validation</x:v>
      </x:c>
      <x:c r="O273" s="80" t="str">
        <x:v>site/rules.html:485-1490</x:v>
      </x:c>
    </x:row>
    <x:row r="274" ht="21.600000381469727" hidden="0" customHeight="1">
      <x:c r="A274" s="80" t="str">
        <x:v>PUB-RULES-002</x:v>
      </x:c>
      <x:c r="B274" s="80" t="str">
        <x:v>Rulebook</x:v>
      </x:c>
      <x:c r="C274" s="80" t="str">
        <x:v>visitor</x:v>
      </x:c>
      <x:c r="D274" s="80" t="str">
        <x:v>As a visitor, I can click a TOC chapter or scroll through chapters.</x:v>
      </x:c>
      <x:c r="E274" s="80" t="str">
        <x:v>TOC anchors jump to the correct numbered section; IntersectionObserver marks the chapter currently in the reading band</x:v>
      </x:c>
      <x:c r="F274" s="80" t="str">
        <x:v>Desktop rulebook reader</x:v>
      </x:c>
      <x:c r="G274" s="80" t="str">
        <x:v>Viewport is wide enough for sidebar TOC</x:v>
      </x:c>
      <x:c r="H274" s="80" t="str">
        <x:v>Click a TOC chapter or scroll through chapters</x:v>
      </x:c>
      <x:c r="I274" s="80" t="str">
        <x:v>tests/test_repo_structure.py:30-36 verifies getElementById for numeric IDs; no browser test</x:v>
      </x:c>
      <x:c r="J274" s="80" t="str">
        <x:v>Not Run</x:v>
      </x:c>
      <x:c r="K274" s="80" t="str">
        <x:v>Not Run</x:v>
      </x:c>
      <x:c r="L274" s="80"/>
      <x:c r="M274" s="80"/>
      <x:c r="N274" s="80" t="str">
        <x:v>Implemented; IntersectionObserver is constructed unconditionally, so very old browsers can lose TOC behavior (D-PUB-002)</x:v>
      </x:c>
      <x:c r="O274" s="80" t="str">
        <x:v>site/rules.html:453-484, 1310-1326</x:v>
      </x:c>
    </x:row>
    <x:row r="275" ht="21.600000381469727" hidden="0" customHeight="1">
      <x:c r="A275" s="80" t="str">
        <x:v>PUB-RULES-003</x:v>
      </x:c>
      <x:c r="B275" s="80" t="str">
        <x:v>Rulebook</x:v>
      </x:c>
      <x:c r="C275" s="80" t="str">
        <x:v>visitor</x:v>
      </x:c>
      <x:c r="D275" s="80" t="str">
        <x:v>As a visitor, I can open “Contents — jump to a chapter” and select a chapter.</x:v>
      </x:c>
      <x:c r="E275" s="80" t="str">
        <x:v>Collapsed mobile contents provides the full chapter list with real numeric anchors; selecting a link scrolls to the chapter instead of the historical dead #fast-start link</x:v>
      </x:c>
      <x:c r="F275" s="80" t="str">
        <x:v>Mobile rulebook reader</x:v>
      </x:c>
      <x:c r="G275" s="80" t="str">
        <x:v>Viewport is below the desktop TOC breakpoint</x:v>
      </x:c>
      <x:c r="H275" s="80" t="str">
        <x:v>Open “Contents — jump to a chapter” and select a chapter</x:v>
      </x:c>
      <x:c r="I275" s="80" t="str">
        <x:v>tests/test_repo_structure.py:30-36 protects direct ID lookup; no browser test</x:v>
      </x:c>
      <x:c r="J275" s="80" t="str">
        <x:v>Not Run</x:v>
      </x:c>
      <x:c r="K275" s="80" t="str">
        <x:v>Not Run</x:v>
      </x:c>
      <x:c r="L275" s="80"/>
      <x:c r="M275" s="80"/>
      <x:c r="N275" s="80" t="str">
        <x:v>Implemented; details/native disclosure state needs mobile evidence</x:v>
      </x:c>
      <x:c r="O275" s="80" t="str">
        <x:v>site/rules.html:397-431</x:v>
      </x:c>
    </x:row>
    <x:row r="276" ht="21.600000381469727" hidden="0" customHeight="1">
      <x:c r="A276" s="80" t="str">
        <x:v>PUB-RULES-004</x:v>
      </x:c>
      <x:c r="B276" s="80" t="str">
        <x:v>Rulebook</x:v>
      </x:c>
      <x:c r="C276" s="80" t="str">
        <x:v>visitor</x:v>
      </x:c>
      <x:c r="D276" s="80" t="str">
        <x:v>As a visitor, I can type a title fragment or a non-match.</x:v>
      </x:c>
      <x:c r="E276" s="80" t="str">
        <x:v>Only links whose visible chapter title contains the lowercase trimmed query remain; if zero remain, “No chapter matches.” appears</x:v>
      </x:c>
      <x:c r="F276" s="80" t="str">
        <x:v>Reader searching chapters</x:v>
      </x:c>
      <x:c r="G276" s="80" t="str">
        <x:v>Rulebook TOC is visible; search field is focused</x:v>
      </x:c>
      <x:c r="H276" s="80" t="str">
        <x:v>Type a title fragment or a non-match</x:v>
      </x:c>
      <x:c r="I276" s="80" t="str">
        <x:v>No dedicated rulebook JS test</x:v>
      </x:c>
      <x:c r="J276" s="80" t="str">
        <x:v>Not Run</x:v>
      </x:c>
      <x:c r="K276" s="80" t="str">
        <x:v>Not Run</x:v>
      </x:c>
      <x:c r="L276" s="80"/>
      <x:c r="M276" s="80"/>
      <x:c r="N276" s="80" t="str">
        <x:v>Implemented; search intentionally matches visible labels rather than hidden data-terms despite each link carrying data-terms (ambiguity D-PUB-003)</x:v>
      </x:c>
      <x:c r="O276" s="80" t="str">
        <x:v>site/rules.html:453-484, 1309-1325</x:v>
      </x:c>
    </x:row>
    <x:row r="277" ht="21.600000381469727" hidden="0" customHeight="1">
      <x:c r="A277" s="80" t="str">
        <x:v>PUB-RULES-005</x:v>
      </x:c>
      <x:c r="B277" s="80" t="str">
        <x:v>Rulebook</x:v>
      </x:c>
      <x:c r="C277" s="80" t="str">
        <x:v>visitor</x:v>
      </x:c>
      <x:c r="D277" s="80" t="str">
        <x:v>As a visitor, I can press Escape or Enter.</x:v>
      </x:c>
      <x:c r="E277" s="80" t="str">
        <x:v>Escape clears the query and restores links; Enter activates the first currently visible chapter link; empty results do nothing</x:v>
      </x:c>
      <x:c r="F277" s="80" t="str">
        <x:v>Keyboard rulebook reader</x:v>
      </x:c>
      <x:c r="G277" s="80" t="str">
        <x:v>TOC search has focus or page is focused</x:v>
      </x:c>
      <x:c r="H277" s="80" t="str">
        <x:v>Press Escape or Enter</x:v>
      </x:c>
      <x:c r="I277" s="80" t="str">
        <x:v>No dedicated browser test</x:v>
      </x:c>
      <x:c r="J277" s="80" t="str">
        <x:v>Not Run</x:v>
      </x:c>
      <x:c r="K277" s="80" t="str">
        <x:v>Not Run</x:v>
      </x:c>
      <x:c r="L277" s="80"/>
      <x:c r="M277" s="80"/>
      <x:c r="N277" s="80" t="str">
        <x:v>Implemented</x:v>
      </x:c>
      <x:c r="O277" s="80" t="str">
        <x:v>site/rules.html:1309-1326</x:v>
      </x:c>
    </x:row>
    <x:row r="278" ht="21.600000381469727" hidden="0" customHeight="1">
      <x:c r="A278" s="80" t="str">
        <x:v>PUB-RULES-006</x:v>
      </x:c>
      <x:c r="B278" s="80" t="str">
        <x:v>Rulebook</x:v>
      </x:c>
      <x:c r="C278" s="80" t="str">
        <x:v>visitor</x:v>
      </x:c>
      <x:c r="D278" s="80" t="str">
        <x:v>As a visitor, I can navigate directly or click a numbered anchor.</x:v>
      </x:c>
      <x:c r="E278" s="80" t="str">
        <x:v>Browser resolves numeric-leading IDs via getElementById-backed observer setup; the requested chapter is visible rather than failing CSS selector parsing</x:v>
      </x:c>
      <x:c r="F278" s="80" t="str">
        <x:v>Rulebook reader using a shared chapter link</x:v>
      </x:c>
      <x:c r="G278" s="80" t="str">
        <x:v>A link such as rules.html#9-turn-structure is opened</x:v>
      </x:c>
      <x:c r="H278" s="80" t="str">
        <x:v>Navigate directly or click a numbered anchor</x:v>
      </x:c>
      <x:c r="I278" s="80" t="str">
        <x:v>tests/test_repo_structure.py:30-36</x:v>
      </x:c>
      <x:c r="J278" s="80" t="str">
        <x:v>Not Run</x:v>
      </x:c>
      <x:c r="K278" s="80" t="str">
        <x:v>Not Run</x:v>
      </x:c>
      <x:c r="L278" s="80"/>
      <x:c r="M278" s="80"/>
      <x:c r="N278" s="80" t="str">
        <x:v>Implemented</x:v>
      </x:c>
      <x:c r="O278" s="80" t="str">
        <x:v>site/rules.html:405-430, 1310-1326; site/quickstart.html:253,275,315,336,363</x:v>
      </x:c>
    </x:row>
    <x:row r="279" ht="21.600000381469727" hidden="0" customHeight="1">
      <x:c r="A279" s="80" t="str">
        <x:v>PUB-RULES-007</x:v>
      </x:c>
      <x:c r="B279" s="80" t="str">
        <x:v>Rulebook</x:v>
      </x:c>
      <x:c r="C279" s="80" t="str">
        <x:v>visitor</x:v>
      </x:c>
      <x:c r="D279" s="80" t="str">
        <x:v>As a visitor, I can print or export rules.html.</x:v>
      </x:c>
      <x:c r="E279" s="80" t="str">
        <x:v>Print stylesheet hides nav/TOC/hero chrome, lays out readable dark-on-light article and rule banners, and avoids breaking core tables/figures across pages</x:v>
      </x:c>
      <x:c r="F279" s="80" t="str">
        <x:v>Reader printing the rulebook</x:v>
      </x:c>
      <x:c r="G279" s="80" t="str">
        <x:v>Browser print preview is available</x:v>
      </x:c>
      <x:c r="H279" s="80" t="str">
        <x:v>Print or export rules.html</x:v>
      </x:c>
      <x:c r="I279" s="80" t="str">
        <x:v>No print/PDF test in repository</x:v>
      </x:c>
      <x:c r="J279" s="80" t="str">
        <x:v>Not Run</x:v>
      </x:c>
      <x:c r="K279" s="80" t="str">
        <x:v>Not Run</x:v>
      </x:c>
      <x:c r="L279" s="80"/>
      <x:c r="M279" s="80"/>
      <x:c r="N279" s="80" t="str">
        <x:v>Implemented by CSS; needs print visual evidence</x:v>
      </x:c>
      <x:c r="O279" s="80" t="str">
        <x:v>site/rules.html:300-378</x:v>
      </x:c>
    </x:row>
    <x:row r="280" ht="21.600000381469727" hidden="0" customHeight="1">
      <x:c r="A280" s="80" t="str">
        <x:v>PUB-RULES-008</x:v>
      </x:c>
      <x:c r="B280" s="80" t="str">
        <x:v>Rulebook</x:v>
      </x:c>
      <x:c r="C280" s="80" t="str">
        <x:v>visitor</x:v>
      </x:c>
      <x:c r="D280" s="80" t="str">
        <x:v>As a visitor, I can activate hero Play, Quick start or Cards CTA, or Lore link.</x:v>
      </x:c>
      <x:c r="E280" s="80" t="str">
        <x:v>CTA destinations are valid and preserve the learning path: Play, five-minute onboarding, gallery, Lore</x:v>
      </x:c>
      <x:c r="F280" s="80" t="str">
        <x:v>Reader entering the game from rules</x:v>
      </x:c>
      <x:c r="G280" s="80" t="str">
        <x:v>Rules page loaded</x:v>
      </x:c>
      <x:c r="H280" s="80" t="str">
        <x:v>Activate hero Play, Quick start or Cards CTA, or Lore link</x:v>
      </x:c>
      <x:c r="I280" s="80" t="str">
        <x:v>tests/test_repo_structure.py:38-46; no browser nav test</x:v>
      </x:c>
      <x:c r="J280" s="80" t="str">
        <x:v>Not Run</x:v>
      </x:c>
      <x:c r="K280" s="80" t="str">
        <x:v>Not Run</x:v>
      </x:c>
      <x:c r="L280" s="80"/>
      <x:c r="M280" s="80"/>
      <x:c r="N280" s="80" t="str">
        <x:v>Static/Implemented</x:v>
      </x:c>
      <x:c r="O280" s="80" t="str">
        <x:v>site/rules.html:432-451, 487-504</x:v>
      </x:c>
    </x:row>
    <x:row r="281" ht="21.600000381469727" hidden="0" customHeight="1">
      <x:c r="A281" s="80" t="str">
        <x:v>PUB-SHARED-001</x:v>
      </x:c>
      <x:c r="B281" s="80" t="str">
        <x:v>Shared shell</x:v>
      </x:c>
      <x:c r="C281" s="80" t="str">
        <x:v>keyboard visitor</x:v>
      </x:c>
      <x:c r="D281" s="80" t="str">
        <x:v>As a keyboard visitor, I can focus the skip link and activate it.</x:v>
      </x:c>
      <x:c r="E281" s="80" t="str">
        <x:v>Focus jumps to the page's main content (#main) or, on the rulebook, #rules-top; the link is visually exposed on focus</x:v>
      </x:c>
      <x:c r="F281" s="80" t="str">
        <x:v>Any shared-nav page</x:v>
      </x:c>
      <x:c r="G281" s="80" t="str">
        <x:v>Page is loaded; focus is before the page body</x:v>
      </x:c>
      <x:c r="H281" s="80" t="str">
        <x:v>Focus the skip link and activate it</x:v>
      </x:c>
      <x:c r="I281" s="80" t="str">
        <x:v>tests/test_repo_structure.py:8-45 only checks page presence/links; no browser test</x:v>
      </x:c>
      <x:c r="J281" s="80" t="str">
        <x:v>Not Run</x:v>
      </x:c>
      <x:c r="K281" s="80" t="str">
        <x:v>Not Run</x:v>
      </x:c>
      <x:c r="L281" s="80"/>
      <x:c r="M281" s="80"/>
      <x:c r="N281" s="80" t="str">
        <x:v>Implemented; skip-link activation still needs browser evidence</x:v>
      </x:c>
      <x:c r="O281" s="80" t="str">
        <x:v>site/600b.css:106-111; site/index.html:329; site/rules.html:382</x:v>
      </x:c>
    </x:row>
    <x:row r="282" ht="43.20000076293945" hidden="0" customHeight="1">
      <x:c r="A282" s="80" t="str">
        <x:v>PUB-SHARED-002</x:v>
      </x:c>
      <x:c r="B282" s="80" t="str">
        <x:v>Shared shell</x:v>
      </x:c>
      <x:c r="C282" s="80" t="str">
        <x:v>visitor</x:v>
      </x:c>
      <x:c r="D282" s="80" t="str">
        <x:v>As a visitor, I can use the brand or a nav link.</x:v>
      </x:c>
      <x:c r="E282" s="80" t="str">
        <x:v>Brand returns to index.html; links reach Play, Play online, Shop, Wallet where present, Cards, Stacks, Rules, Lore and Leaderboard; current page is highlighted with aria-current="page" where supplied</x:v>
      </x:c>
      <x:c r="F282" s="80" t="str">
        <x:v>Visitor moving between site pages</x:v>
      </x:c>
      <x:c r="G282" s="80" t="str">
        <x:v>Any page with the shared .nav is loaded</x:v>
      </x:c>
      <x:c r="H282" s="80" t="str">
        <x:v>Use the brand or a nav link</x:v>
      </x:c>
      <x:c r="I282" s="80" t="str">
        <x:v>tests/test_repo_structure.py:8-45; tests/test_gallery.py:45-58; tests/test_build_play_data.py:184-200</x:v>
      </x:c>
      <x:c r="J282" s="80" t="str">
        <x:v>Not Run</x:v>
      </x:c>
      <x:c r="K282" s="80" t="str">
        <x:v>Not Run</x:v>
      </x:c>
      <x:c r="L282" s="80"/>
      <x:c r="M282" s="80"/>
      <x:c r="N282" s="80" t="str">
        <x:v>Implemented; intro.html, e1-card-set.html, and fx-demo.html intentionally use no shared nav (intro gate/proof harness custom layouts)</x:v>
      </x:c>
      <x:c r="O282" s="80" t="str">
        <x:v>site/index.html:332-345; site/quickstart.html:201-214; site/lore.html:172-185; site/rules.html:383-396; site/cards.html:437-452; site/arena.html:83-96; site/600b.css:113-150</x:v>
      </x:c>
    </x:row>
    <x:row r="283" ht="32.400001525878906" hidden="0" customHeight="1">
      <x:c r="A283" s="80" t="str">
        <x:v>PUB-SHARED-003</x:v>
      </x:c>
      <x:c r="B283" s="80" t="str">
        <x:v>Shared shell</x:v>
      </x:c>
      <x:c r="C283" s="80" t="str">
        <x:v>visitor</x:v>
      </x:c>
      <x:c r="D283" s="80" t="str">
        <x:v>As a visitor, I can resize or open in a narrow panel; optionally enable reduced motion.</x:v>
      </x:c>
      <x:c r="E283" s="80" t="str">
        <x:v>Container-query/media rules tighten nav/buttons and collapse decorative art; no page-local fixed viewport assumption is introduced; shared motion is reduced when requested</x:v>
      </x:c>
      <x:c r="F283" s="80" t="str">
        <x:v>Visitor in a narrow window or napplet panel</x:v>
      </x:c>
      <x:c r="G283" s="80" t="str">
        <x:v>Any shared page is rendered below responsive breakpoints</x:v>
      </x:c>
      <x:c r="H283" s="80" t="str">
        <x:v>Resize or open in a narrow panel; optionally enable reduced motion</x:v>
      </x:c>
      <x:c r="I283" s="80" t="str">
        <x:v>No browser/layout test; tests/js/napplet.test.mjs:211-225 covers adapter shape only</x:v>
      </x:c>
      <x:c r="J283" s="80" t="str">
        <x:v>Not Run</x:v>
      </x:c>
      <x:c r="K283" s="80" t="str">
        <x:v>Not Run</x:v>
      </x:c>
      <x:c r="L283" s="80"/>
      <x:c r="M283" s="80"/>
      <x:c r="N283" s="80" t="str">
        <x:v>Implemented by CSS; exact no-overflow and accessibility matrix remains untested</x:v>
      </x:c>
      <x:c r="O283" s="80" t="str">
        <x:v>site/600b.css:75-87, 312-317; page-local contracts e.g. site/index.html:261-320, site/quickstart.html:139-195, site/lore.html:113-166, site/arena.html:37-77</x:v>
      </x:c>
    </x:row>
    <x:row r="284" ht="32.400001525878906" hidden="0" customHeight="1">
      <x:c r="A284" s="80" t="str">
        <x:v>PUB-SHARED-004</x:v>
      </x:c>
      <x:c r="B284" s="80" t="str">
        <x:v>Shared shell</x:v>
      </x:c>
      <x:c r="C284" s="80" t="str">
        <x:v>visitor</x:v>
      </x:c>
      <x:c r="D284" s="80" t="str">
        <x:v>As a visitor, I can load a shared page and/or change shell theme.</x:v>
      </x:c>
      <x:c r="E284" s="80" t="str">
        <x:v>Missing optional capabilities fall back instead of blocking: localStorage, NIP-07/none identity, fallback palette, URLs/local files, local-only outbox, and internet reachability are exposed through one adapter; affinity colors remain fixed</x:v>
      </x:c>
      <x:c r="F284" s="80" t="str">
        <x:v>Visitor in plain browser or shell</x:v>
      </x:c>
      <x:c r="G284" s="80" t="str">
        <x:v>napplet.js loads, with zero or more optional shell domains</x:v>
      </x:c>
      <x:c r="H284" s="80" t="str">
        <x:v>Load a shared page and/or change shell theme</x:v>
      </x:c>
      <x:c r="I284" s="80" t="str">
        <x:v>tests/js/napplet.test.mjs:51-94, 98-132, 134-185, 187-239, 241-290</x:v>
      </x:c>
      <x:c r="J284" s="80" t="str">
        <x:v>Not Run</x:v>
      </x:c>
      <x:c r="K284" s="80" t="str">
        <x:v>Not Run</x:v>
      </x:c>
      <x:c r="L284" s="80"/>
      <x:c r="M284" s="80"/>
      <x:c r="N284" s="80" t="str">
        <x:v>Implemented; all named pages except the custom e1-card-set/fx-demo boot through the adapter</x:v>
      </x:c>
      <x:c r="O284" s="80" t="str">
        <x:v>site/napplet.js:10-20, 50-94, 96-146, 148-200, 202-225, 227-277, 279-331; page boot calls e.g. site/index.html:38, site/cards.html:21</x:v>
      </x:c>
    </x:row>
    <x:row r="285" ht="21.600000381469727" hidden="0" customHeight="1">
      <x:c r="A285" s="80" t="str">
        <x:v>PUB-SHARED-005</x:v>
      </x:c>
      <x:c r="B285" s="80" t="str">
        <x:v>Shared shell</x:v>
      </x:c>
      <x:c r="C285" s="80" t="str">
        <x:v>visitor</x:v>
      </x:c>
      <x:c r="D285" s="80" t="str">
        <x:v>As a visitor, I can activate the injected bug icon.</x:v>
      </x:c>
      <x:c r="E285" s="80" t="str">
        <x:v>A keyboard/focusable bug button appears in the nav (or floats when no nav); its inline SVG does not depend on an additional asset; a report dialog opens and focuses the textarea</x:v>
      </x:c>
      <x:c r="F285" s="80" t="str">
        <x:v>Visitor needing to report a problem</x:v>
      </x:c>
      <x:c r="G285" s="80" t="str">
        <x:v>A page that loads bugreport.js has a DOM and .nav__links or body</x:v>
      </x:c>
      <x:c r="H285" s="80" t="str">
        <x:v>Activate the injected bug icon</x:v>
      </x:c>
      <x:c r="I285" s="80" t="str">
        <x:v>No dedicated bug-report test</x:v>
      </x:c>
      <x:c r="J285" s="80" t="str">
        <x:v>Not Run</x:v>
      </x:c>
      <x:c r="K285" s="80" t="str">
        <x:v>Not Run</x:v>
      </x:c>
      <x:c r="L285" s="80"/>
      <x:c r="M285" s="80"/>
      <x:c r="N285" s="80" t="str">
        <x:v>Implemented; intro.html, e1-card-set.html, and fx-demo.html do not load the reporter, so they have no bug button</x:v>
      </x:c>
      <x:c r="O285" s="80" t="str">
        <x:v>site/bugreport.js:27-43, 109-150, 194-217; site/600b.css:319-351</x:v>
      </x:c>
    </x:row>
    <x:row r="286" ht="32.400001525878906" hidden="0" customHeight="1">
      <x:c r="A286" s="80" t="str">
        <x:v>PUB-SHARED-006</x:v>
      </x:c>
      <x:c r="B286" s="80" t="str">
        <x:v>Shared shell</x:v>
      </x:c>
      <x:c r="C286" s="80" t="str">
        <x:v>visitor</x:v>
      </x:c>
      <x:c r="D286" s="80" t="str">
        <x:v>As a visitor, I can enter at least 12 characters and activate Copy report.</x:v>
      </x:c>
      <x:c r="E286" s="80" t="str">
        <x:v>Report text includes the user's text plus project/page/viewport/user-agent/time and up to five captured console errors; clipboard success says “Copied”; clipboard failure puts the full text in the textarea for manual copying</x:v>
      </x:c>
      <x:c r="F286" s="80" t="str">
        <x:v>Anonymous bug reporter</x:v>
      </x:c>
      <x:c r="G286" s="80" t="str">
        <x:v>Bug dialog is open; no usable window.nostr.signEvent</x:v>
      </x:c>
      <x:c r="H286" s="80" t="str">
        <x:v>Enter at least 12 characters and activate Copy report</x:v>
      </x:c>
      <x:c r="I286" s="80" t="str">
        <x:v>No dedicated bug-report test</x:v>
      </x:c>
      <x:c r="J286" s="80" t="str">
        <x:v>Not Run</x:v>
      </x:c>
      <x:c r="K286" s="80" t="str">
        <x:v>Not Run</x:v>
      </x:c>
      <x:c r="L286" s="80"/>
      <x:c r="M286" s="80"/>
      <x:c r="N286" s="80" t="str">
        <x:v>Implemented; clipboard permission/unsupported-browser path is defensive but untested</x:v>
      </x:c>
      <x:c r="O286" s="80" t="str">
        <x:v>site/bugreport.js:47-81, 124-138, 157-173</x:v>
      </x:c>
    </x:row>
    <x:row r="287" ht="21.600000381469727" hidden="0" customHeight="1">
      <x:c r="A287" s="80" t="str">
        <x:v>PUB-SHARED-007</x:v>
      </x:c>
      <x:c r="B287" s="80" t="str">
        <x:v>Shared shell</x:v>
      </x:c>
      <x:c r="C287" s="80" t="str">
        <x:v>visitor</x:v>
      </x:c>
      <x:c r="D287" s="80" t="str">
        <x:v>As a visitor, I can enter at least 12 characters and activate Sign and send.</x:v>
      </x:c>
      <x:c r="E287" s="80" t="str">
        <x:v>Browser creates kind 1621 NIP-34 issue content, signs it, publishes to relays, reports success and closes after a short delay; no server endpoint is used</x:v>
      </x:c>
      <x:c r="F287" s="80" t="str">
        <x:v>Signed-in bug reporter</x:v>
      </x:c>
      <x:c r="G287" s="80" t="str">
        <x:v>Bug dialog is open; NIP-07 signer and E1Net.publish are available</x:v>
      </x:c>
      <x:c r="H287" s="80" t="str">
        <x:v>Enter at least 12 characters and activate Sign and send</x:v>
      </x:c>
      <x:c r="I287" s="80" t="str">
        <x:v>No dedicated bug-report test; relay/signing logic is not covered by the named static tests</x:v>
      </x:c>
      <x:c r="J287" s="80" t="str">
        <x:v>Not Run</x:v>
      </x:c>
      <x:c r="K287" s="80" t="str">
        <x:v>Not Run</x:v>
      </x:c>
      <x:c r="L287" s="80"/>
      <x:c r="M287" s="80"/>
      <x:c r="N287" s="80" t="str">
        <x:v>Implemented; actual signer/relay acceptance is an external baseline dependency</x:v>
      </x:c>
      <x:c r="O287" s="80" t="str">
        <x:v>site/bugreport.js:83-107, 174-181</x:v>
      </x:c>
    </x:row>
    <x:row r="288" ht="21.600000381469727" hidden="0" customHeight="1">
      <x:c r="A288" s="80" t="str">
        <x:v>PUB-SHARED-008</x:v>
      </x:c>
      <x:c r="B288" s="80" t="str">
        <x:v>Shared shell</x:v>
      </x:c>
      <x:c r="C288" s="80" t="str">
        <x:v>visitor</x:v>
      </x:c>
      <x:c r="D288" s="80" t="str">
        <x:v>As a visitor, I can submit fewer than 12 chars, or make signing/relay publish fail.</x:v>
      </x:c>
      <x:c r="E288" s="80" t="str">
        <x:v>Short reports stay open with a reproduction hint; no signer/relay acceptance produces a specific copy/send-again/signing message; send is re-enabled after failure</x:v>
      </x:c>
      <x:c r="F288" s="80" t="str">
        <x:v>Bug reporter with invalid input or failed infrastructure</x:v>
      </x:c>
      <x:c r="G288" s="80" t="str">
        <x:v>Bug dialog is open</x:v>
      </x:c>
      <x:c r="H288" s="80" t="str">
        <x:v>Submit fewer than 12 chars, or make signing/relay publish fail</x:v>
      </x:c>
      <x:c r="I288" s="80" t="str">
        <x:v>No dedicated bug-report test</x:v>
      </x:c>
      <x:c r="J288" s="80" t="str">
        <x:v>Not Run</x:v>
      </x:c>
      <x:c r="K288" s="80" t="str">
        <x:v>Not Run</x:v>
      </x:c>
      <x:c r="L288" s="80"/>
      <x:c r="M288" s="80"/>
      <x:c r="N288" s="80" t="str">
        <x:v>Implemented; dialog has Escape/backdrop/cancel close but no explicit focus trap (suspected accessibility gap D-PUB-006)</x:v>
      </x:c>
      <x:c r="O288" s="80" t="str">
        <x:v>site/bugreport.js:157-190</x:v>
      </x:c>
    </x:row>
    <x:row r="289" ht="32.400001525878906" hidden="0" customHeight="1">
      <x:c r="A289" s="80" t="str">
        <x:v>PUB-SHARED-009</x:v>
      </x:c>
      <x:c r="B289" s="80" t="str">
        <x:v>Shared shell</x:v>
      </x:c>
      <x:c r="C289" s="80" t="str">
        <x:v>visitor</x:v>
      </x:c>
      <x:c r="D289" s="80" t="str">
        <x:v>As a visitor, I can scroll a card face into view or force local/Blossom resolution.</x:v>
      </x:c>
      <x:c r="E289" s="80" t="str">
        <x:v>file: or ?assets=local uses the shipped file; served pages try content-addressed Blossom mirrors, verify SHA-256, cache verified blobs, coalesce pending requests, and fall back to the local file; a broken card image degrades to a text card or card back depending on page</x:v>
      </x:c>
      <x:c r="F289" s="80" t="str">
        <x:v>Visitor viewing cards on quickstart/lore/cards</x:v>
      </x:c>
      <x:c r="G289" s="80" t="str">
        <x:v>faces.js and blob-map.js are loaded where applicable</x:v>
      </x:c>
      <x:c r="H289" s="80" t="str">
        <x:v>Scroll a card face into view or force local/Blossom resolution</x:v>
      </x:c>
      <x:c r="I289" s="80" t="str">
        <x:v>No dedicated faces test; tests/js/napplet.test.mjs:241-290 covers the adapter resource fallback, not Blossom verification</x:v>
      </x:c>
      <x:c r="J289" s="80" t="str">
        <x:v>Not Run</x:v>
      </x:c>
      <x:c r="K289" s="80" t="str">
        <x:v>Not Run</x:v>
      </x:c>
      <x:c r="L289" s="80"/>
      <x:c r="M289" s="80"/>
      <x:c r="N289" s="80" t="str">
        <x:v>Implemented; mirror/cache/network paths need browser evidence</x:v>
      </x:c>
      <x:c r="O289" s="80" t="str">
        <x:v>site/faces.js:1-14, 18-74, 77-116, 119-165; site/quickstart.html:426-458; site/lore.html:322-355; site/cards.html:664-716</x:v>
      </x:c>
    </x:row>
  </x:sheetData>
  <x:mergeCells>
    <x:mergeCell ref="A1:O1"/>
    <x:mergeCell ref="A2:O2"/>
  </x:mergeCells>
  <x:conditionalFormatting sqref="J6:K83">
    <x:cfRule type="containsText" dxfId="0" priority="1" operator="containsText" text="Pass"/>
    <x:cfRule type="containsText" dxfId="1" priority="2" operator="containsText" text="Fail"/>
    <x:cfRule type="containsText" dxfId="2" priority="3" operator="containsText" text="Blocked"/>
    <x:cfRule type="containsText" dxfId="3" priority="4" operator="containsText" text="Not Run"/>
  </x:conditionalFormatting>
  <x:conditionalFormatting sqref="J6:J289">
    <x:cfRule type="containsText" dxfId="18" priority="5" operator="containsText" text="Pass"/>
    <x:cfRule type="containsText" dxfId="19" priority="6" operator="containsText" text="Fail"/>
    <x:cfRule type="containsText" dxfId="20" priority="7" operator="containsText" text="Blocked"/>
    <x:cfRule type="containsText" dxfId="24" priority="11" operator="containsText" text="Pass"/>
    <x:cfRule type="containsText" dxfId="25" priority="12" operator="containsText" text="Fail"/>
    <x:cfRule type="containsText" dxfId="26" priority="13" operator="containsText" text="Blocked"/>
    <x:cfRule type="containsText" dxfId="30" priority="17" operator="containsText" text="Pass"/>
    <x:cfRule type="containsText" dxfId="31" priority="18" operator="containsText" text="Fail"/>
    <x:cfRule type="containsText" dxfId="32" priority="19" operator="containsText" text="Blocked"/>
  </x:conditionalFormatting>
  <x:conditionalFormatting sqref="K6:K289">
    <x:cfRule type="containsText" dxfId="21" priority="8" operator="containsText" text="Pass"/>
    <x:cfRule type="containsText" dxfId="22" priority="9" operator="containsText" text="Fail"/>
    <x:cfRule type="containsText" dxfId="23" priority="10" operator="containsText" text="Blocked"/>
    <x:cfRule type="containsText" dxfId="27" priority="14" operator="containsText" text="Pass"/>
    <x:cfRule type="containsText" dxfId="28" priority="15" operator="containsText" text="Fail"/>
    <x:cfRule type="containsText" dxfId="29" priority="16" operator="containsText" text="Blocked"/>
    <x:cfRule type="containsText" dxfId="33" priority="20" operator="containsText" text="Pass"/>
    <x:cfRule type="containsText" dxfId="34" priority="21" operator="containsText" text="Fail"/>
    <x:cfRule type="containsText" dxfId="35" priority="22" operator="containsText" text="Blocked"/>
  </x:conditionalFormatting>
  <x:dataValidations count="2">
    <x:dataValidation type="list" sqref="J6:K83">
      <x:formula1>"Not Run,Pass,Fail,Blocked,Not Applicable"</x:formula1>
    </x:dataValidation>
    <x:dataValidation type="list" sqref="J6:K289">
      <x:formula1>"Not Run,Pass,Fail,Blocked"</x:formula1>
    </x:dataValidation>
  </x:dataValidations>
  <x:pageMargins left="0.7" right="0.7" top="0.75" bottom="0.75" header="0.3" footer="0.3"/>
  <x:tableParts count="1">
    <x:tablePart xmlns:r="http://schemas.openxmlformats.org/officeDocument/2006/relationships" r:id="R4cf6f201d87741ab"/>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2" hidden="0" customWidth="1"/>
    <x:col min="2" max="2" width="24" hidden="0" customWidth="1"/>
    <x:col min="3" max="3" width="70" hidden="0" customWidth="1"/>
    <x:col min="4" max="4" width="42" hidden="0" customWidth="1"/>
    <x:col min="5" max="5" width="38" hidden="0" customWidth="1"/>
    <x:col min="6" max="6" width="16" hidden="0" customWidth="1"/>
    <x:col min="7" max="7" width="16" hidden="0" customWidth="1"/>
  </x:cols>
  <x:sheetData>
    <x:row r="1" ht="15" hidden="0" customHeight="1">
      <x:c r="A1" s="65" t="str">
        <x:v>Protocol requirements</x:v>
      </x:c>
      <x:c r="B1" s="66"/>
      <x:c r="C1" s="66"/>
      <x:c r="D1" s="66"/>
      <x:c r="E1" s="66"/>
      <x:c r="F1" s="66"/>
      <x:c r="G1" s="66"/>
      <x:c r="H1" s="67"/>
      <x:c r="I1" s="67"/>
      <x:c r="J1" s="67"/>
      <x:c r="K1" s="67"/>
      <x:c r="L1" s="67"/>
      <x:c r="M1" s="67"/>
      <x:c r="N1" s="67"/>
      <x:c r="O1" s="67"/>
      <x:c r="P1" s="67"/>
      <x:c r="Q1" s="67"/>
      <x:c r="R1" s="67"/>
      <x:c r="S1" s="67"/>
      <x:c r="T1" s="67"/>
      <x:c r="U1" s="67"/>
      <x:c r="V1" s="67"/>
      <x:c r="W1" s="67"/>
      <x:c r="X1" s="67"/>
      <x:c r="Y1" s="67"/>
      <x:c r="Z1" s="67"/>
    </x:row>
    <x:row r="2" ht="15" hidden="0" customHeight="1">
      <x:c r="A2" s="68" t="str">
        <x:v>Normative NUT-31/demo-profile requirements mapped to implementation and evidence.</x:v>
      </x:c>
      <x:c r="B2" s="66"/>
      <x:c r="C2" s="66"/>
      <x:c r="D2" s="66"/>
      <x:c r="E2" s="66"/>
      <x:c r="F2" s="66"/>
      <x:c r="G2" s="66"/>
      <x:c r="H2" s="67"/>
      <x:c r="I2" s="67"/>
      <x:c r="J2" s="67"/>
      <x:c r="K2" s="67"/>
      <x:c r="L2" s="67"/>
      <x:c r="M2" s="67"/>
      <x:c r="N2" s="67"/>
      <x:c r="O2" s="67"/>
      <x:c r="P2" s="67"/>
      <x:c r="Q2" s="67"/>
      <x:c r="R2" s="67"/>
      <x:c r="S2" s="67"/>
      <x:c r="T2" s="67"/>
      <x:c r="U2" s="67"/>
      <x:c r="V2" s="67"/>
      <x:c r="W2" s="67"/>
      <x:c r="X2" s="67"/>
      <x:c r="Y2" s="67"/>
      <x:c r="Z2" s="67"/>
    </x:row>
    <x:row r="3" ht="15" hidden="0" customHeight="1">
      <x:c r="A3" s="58"/>
      <x:c r="B3" s="58"/>
      <x:c r="C3" s="58"/>
      <x:c r="D3" s="58"/>
      <x:c r="E3" s="58"/>
      <x:c r="F3" s="58"/>
      <x:c r="G3" s="58"/>
    </x:row>
    <x:row r="4" ht="15" hidden="0" customHeight="1">
      <x:c r="A4" s="58"/>
      <x:c r="B4" s="58"/>
      <x:c r="C4" s="58"/>
      <x:c r="D4" s="58"/>
      <x:c r="E4" s="58"/>
      <x:c r="F4" s="58"/>
      <x:c r="G4" s="58"/>
    </x:row>
    <x:row r="5" ht="15" hidden="0" customHeight="1">
      <x:c r="A5" s="60" t="str">
        <x:v>ID</x:v>
      </x:c>
      <x:c r="B5" s="61" t="str">
        <x:v>Spec area</x:v>
      </x:c>
      <x:c r="C5" s="61" t="str">
        <x:v>Requirement</x:v>
      </x:c>
      <x:c r="D5" s="61" t="str">
        <x:v>Implementation evidence</x:v>
      </x:c>
      <x:c r="E5" s="61" t="str">
        <x:v>Test evidence</x:v>
      </x:c>
      <x:c r="F5" s="61" t="str">
        <x:v>Status</x:v>
      </x:c>
      <x:c r="G5" s="62" t="str">
        <x:v>Defect ID</x:v>
      </x:c>
    </x:row>
    <x:row r="6" ht="21.600000381469727" hidden="0" customHeight="1">
      <x:c r="A6" s="69" t="str">
        <x:v>P-001</x:v>
      </x:c>
      <x:c r="B6" s="69" t="str">
        <x:v>NUT-31 Capability</x:v>
      </x:c>
      <x:c r="C6" s="69" t="str">
        <x:v>Mint advertises supported=true, versions=[1], p2bk=true, dleq=true in NUT-06 info.</x:v>
      </x:c>
      <x:c r="D6" s="69" t="str">
        <x:v>server/nutft-mint.js /v1/info advertises output_openings, P2BK and DLEQ</x:v>
      </x:c>
      <x:c r="E6" s="69" t="str">
        <x:v>RUN-005</x:v>
      </x:c>
      <x:c r="F6" s="69" t="str">
        <x:v>Not Run</x:v>
      </x:c>
      <x:c r="G6" s="69"/>
    </x:row>
    <x:row r="7" ht="15" hidden="0" customHeight="1">
      <x:c r="A7" s="69" t="str">
        <x:v>P-002</x:v>
      </x:c>
      <x:c r="B7" s="69" t="str">
        <x:v>NUT-31 Capability</x:v>
      </x:c>
      <x:c r="C7" s="69" t="str">
        <x:v>Wallet checks advertised version/P2BK/DLEQ before any operation.</x:v>
      </x:c>
      <x:c r="D7" s="69" t="str">
        <x:v>site/nutft-wallet.js getKeyset refuses missing NUT-31 capabilities</x:v>
      </x:c>
      <x:c r="E7" s="69" t="str">
        <x:v>RUN-005 + source inspection</x:v>
      </x:c>
      <x:c r="F7" s="69" t="str">
        <x:v>Not Run</x:v>
      </x:c>
      <x:c r="G7" s="69"/>
    </x:row>
    <x:row r="8" ht="15" hidden="0" customHeight="1">
      <x:c r="A8" s="69" t="str">
        <x:v>P-003</x:v>
      </x:c>
      <x:c r="B8" s="69" t="str">
        <x:v>Unit/amount</x:v>
      </x:c>
      <x:c r="C8" s="69" t="str">
        <x:v>Every card proof has amount=1 and unit=collection_id; mint validates keyset/unit.</x:v>
      </x:c>
      <x:c r="D8" s="69" t="str">
        <x:v>Mint and wallet require unit 600B-E1 and amount 1</x:v>
      </x:c>
      <x:c r="E8" s="69" t="str">
        <x:v>RUN-005</x:v>
      </x:c>
      <x:c r="F8" s="69" t="str">
        <x:v>Not Run</x:v>
      </x:c>
      <x:c r="G8" s="69"/>
    </x:row>
    <x:row r="9" ht="15" hidden="0" customHeight="1">
      <x:c r="A9" s="69" t="str">
        <x:v>P-004</x:v>
      </x:c>
      <x:c r="B9" s="69" t="str">
        <x:v>Asset reference</x:v>
      </x:c>
      <x:c r="C9" s="69" t="str">
        <x:v>Token reference contains only collection_id, asset_id, catalog_uri.</x:v>
      </x:c>
      <x:c r="D9" s="69" t="str">
        <x:v>Canonical tag carries collection_id, asset_id and catalog_uri only</x:v>
      </x:c>
      <x:c r="E9" s="69" t="str">
        <x:v>RUN-005</x:v>
      </x:c>
      <x:c r="F9" s="69" t="str">
        <x:v>Not Run</x:v>
      </x:c>
      <x:c r="G9" s="69"/>
    </x:row>
    <x:row r="10" ht="15" hidden="0" customHeight="1">
      <x:c r="A10" s="69" t="str">
        <x:v>P-005</x:v>
      </x:c>
      <x:c r="B10" s="69" t="str">
        <x:v>Asset binding</x:v>
      </x:c>
      <x:c r="C10" s="69" t="str">
        <x:v>Binding is SHA256(UTF8 Cashu_NutFT_v1 || canonical_json(reference)).</x:v>
      </x:c>
      <x:c r="D10" s="69" t="str">
        <x:v>Shared Cashu_NutFT_v1 canonical binding implementation</x:v>
      </x:c>
      <x:c r="E10" s="69" t="str">
        <x:v>RUN-005</x:v>
      </x:c>
      <x:c r="F10" s="69" t="str">
        <x:v>Not Run</x:v>
      </x:c>
      <x:c r="G10" s="69"/>
    </x:row>
    <x:row r="11" ht="21.600000381469727" hidden="0" customHeight="1">
      <x:c r="A11" s="69" t="str">
        <x:v>P-006</x:v>
      </x:c>
      <x:c r="B11" s="69" t="str">
        <x:v>Canonical secret</x:v>
      </x:c>
      <x:c r="C11" s="69" t="str">
        <x:v>NutFT tag occurs exactly once, has six total strings including tag name, non-empty values, and canonical outer secret.</x:v>
      </x:c>
      <x:c r="D11" s="69" t="str">
        <x:v>Mint parses canonical secret and requires exactly one well-formed NutFT tag</x:v>
      </x:c>
      <x:c r="E11" s="69" t="str">
        <x:v>RUN-005 + adversarial tests</x:v>
      </x:c>
      <x:c r="F11" s="69" t="str">
        <x:v>Not Run</x:v>
      </x:c>
      <x:c r="G11" s="69"/>
    </x:row>
    <x:row r="12" ht="21.600000381469727" hidden="0" customHeight="1">
      <x:c r="A12" s="69" t="str">
        <x:v>P-007</x:v>
      </x:c>
      <x:c r="B12" s="69" t="str">
        <x:v>Blinded outputs</x:v>
      </x:c>
      <x:c r="C12" s="69" t="str">
        <x:v>Each B_ carries clear declaration; declaration matches expected asset reference.</x:v>
      </x:c>
      <x:c r="D12" s="69" t="str">
        <x:v>Each output discloses secret, blinding_factor and p2pk_e; mint recomputes B_</x:v>
      </x:c>
      <x:c r="E12" s="69" t="str">
        <x:v>RUN-005</x:v>
      </x:c>
      <x:c r="F12" s="69" t="str">
        <x:v>Not Run</x:v>
      </x:c>
      <x:c r="G12" s="69"/>
    </x:row>
    <x:row r="13" ht="15" hidden="0" customHeight="1">
      <x:c r="A13" s="69" t="str">
        <x:v>P-008</x:v>
      </x:c>
      <x:c r="B13" s="69" t="str">
        <x:v>Issuance</x:v>
      </x:c>
      <x:c r="C13" s="69" t="str">
        <x:v>Mint verifies asset_id exists in accepted catalog before signing.</x:v>
      </x:c>
      <x:c r="D13" s="69" t="str">
        <x:v>Mint resolves every asset_id against generated census catalog</x:v>
      </x:c>
      <x:c r="E13" s="69" t="str">
        <x:v>RUN-005</x:v>
      </x:c>
      <x:c r="F13" s="69" t="str">
        <x:v>Not Run</x:v>
      </x:c>
      <x:c r="G13" s="69"/>
    </x:row>
    <x:row r="14" ht="15" hidden="0" customHeight="1">
      <x:c r="A14" s="69" t="str">
        <x:v>P-009</x:v>
      </x:c>
      <x:c r="B14" s="69" t="str">
        <x:v>DLEQ</x:v>
      </x:c>
      <x:c r="C14" s="69" t="str">
        <x:v>Mint emits DLEQ and wallet requires verification.</x:v>
      </x:c>
      <x:c r="D14" s="69" t="str">
        <x:v>Mint emits and wallet requires DLEQ</x:v>
      </x:c>
      <x:c r="E14" s="69" t="str">
        <x:v>RUN-005 + RUN-009</x:v>
      </x:c>
      <x:c r="F14" s="69" t="str">
        <x:v>Not Run</x:v>
      </x:c>
      <x:c r="G14" s="69"/>
    </x:row>
    <x:row r="15" ht="15" hidden="0" customHeight="1">
      <x:c r="A15" s="69" t="str">
        <x:v>P-010</x:v>
      </x:c>
      <x:c r="B15" s="69" t="str">
        <x:v>P2BK</x:v>
      </x:c>
      <x:c r="C15" s="69" t="str">
        <x:v>Mint/store demonstrate P2BK and wallet verifies proof carries blinded-key field.</x:v>
      </x:c>
      <x:c r="D15" s="69" t="str">
        <x:v>Demo requires P2BK destinations and validates ephemeral keys</x:v>
      </x:c>
      <x:c r="E15" s="69" t="str">
        <x:v>RUN-005 + RUN-009</x:v>
      </x:c>
      <x:c r="F15" s="69" t="str">
        <x:v>Not Run</x:v>
      </x:c>
      <x:c r="G15" s="69"/>
    </x:row>
    <x:row r="16" ht="21.600000381469727" hidden="0" customHeight="1">
      <x:c r="A16" s="69" t="str">
        <x:v>P-011</x:v>
      </x:c>
      <x:c r="B16" s="69" t="str">
        <x:v>Proof validation</x:v>
      </x:c>
      <x:c r="C16" s="69" t="str">
        <x:v>Wallet validates mint/keyset/unit/amount/secret/binding/spending condition/DLEQ/state.</x:v>
      </x:c>
      <x:c r="D16" s="69" t="str">
        <x:v>Wallet validates proof, keyset, amount, binding, ownership, DLEQ and state</x:v>
      </x:c>
      <x:c r="E16" s="69" t="str">
        <x:v>RUN-005 + RUN-009</x:v>
      </x:c>
      <x:c r="F16" s="69" t="str">
        <x:v>Not Run</x:v>
      </x:c>
      <x:c r="G16" s="69"/>
    </x:row>
    <x:row r="17" ht="15" hidden="0" customHeight="1">
      <x:c r="A17" s="69" t="str">
        <x:v>P-012</x:v>
      </x:c>
      <x:c r="B17" s="69" t="str">
        <x:v>Catalog pointer</x:v>
      </x:c>
      <x:c r="C17" s="69" t="str">
        <x:v>Wallet resolves the exact catalog_uri carried by proof.</x:v>
      </x:c>
      <x:c r="D17" s="69" t="str">
        <x:v>Wallet fetches the exact catalog_uri from each proof</x:v>
      </x:c>
      <x:c r="E17" s="69" t="str">
        <x:v>RUN-005 + source inspection</x:v>
      </x:c>
      <x:c r="F17" s="69" t="str">
        <x:v>Not Run</x:v>
      </x:c>
      <x:c r="G17" s="69"/>
    </x:row>
    <x:row r="18" ht="15" hidden="0" customHeight="1">
      <x:c r="A18" s="69" t="str">
        <x:v>P-013</x:v>
      </x:c>
      <x:c r="B18" s="69" t="str">
        <x:v>Catalog signature</x:v>
      </x:c>
      <x:c r="C18" s="69" t="str">
        <x:v>Wallet verifies immutable signed manifest against trusted application authority.</x:v>
      </x:c>
      <x:c r="D18" s="69" t="str">
        <x:v>Wallet pins catalog issuer advertised by mint capabilities</x:v>
      </x:c>
      <x:c r="E18" s="69" t="str">
        <x:v>RUN-005</x:v>
      </x:c>
      <x:c r="F18" s="69" t="str">
        <x:v>Not Run</x:v>
      </x:c>
      <x:c r="G18" s="69"/>
    </x:row>
    <x:row r="19" ht="21.600000381469727" hidden="0" customHeight="1">
      <x:c r="A19" s="69" t="str">
        <x:v>P-014</x:v>
      </x:c>
      <x:c r="B19" s="69" t="str">
        <x:v>Blossom</x:v>
      </x:c>
      <x:c r="C19" s="69" t="str">
        <x:v>Wallet hashes fetched face bytes before display.</x:v>
      </x:c>
      <x:c r="D19" s="69" t="str">
        <x:v>Wallet hashes downloaded Blossom bytes before blob display, with mirror fallback</x:v>
      </x:c>
      <x:c r="E19" s="69" t="str">
        <x:v>RUN-009</x:v>
      </x:c>
      <x:c r="F19" s="69" t="str">
        <x:v>Not Run</x:v>
      </x:c>
      <x:c r="G19" s="69"/>
    </x:row>
    <x:row r="20" ht="15" hidden="0" customHeight="1">
      <x:c r="A20" s="69" t="str">
        <x:v>P-015</x:v>
      </x:c>
      <x:c r="B20" s="69" t="str">
        <x:v>Replacement</x:v>
      </x:c>
      <x:c r="C20" s="69" t="str">
        <x:v>Output exact reference/binding equals consumed input; owner/P2BK/nonce/blinding may change.</x:v>
      </x:c>
      <x:c r="D20" s="69" t="str">
        <x:v>Trade requires byte-identical reference and asset_binding</x:v>
      </x:c>
      <x:c r="E20" s="69" t="str">
        <x:v>RUN-005</x:v>
      </x:c>
      <x:c r="F20" s="69" t="str">
        <x:v>Not Run</x:v>
      </x:c>
      <x:c r="G20" s="69"/>
    </x:row>
    <x:row r="21" ht="21.600000381469727" hidden="0" customHeight="1">
      <x:c r="A21" s="69" t="str">
        <x:v>P-016</x:v>
      </x:c>
      <x:c r="B21" s="69" t="str">
        <x:v>Atomicity</x:v>
      </x:c>
      <x:c r="C21" s="69" t="str">
        <x:v>All input/destination checks complete before old proof becomes spent.</x:v>
      </x:c>
      <x:c r="D21" s="69" t="str">
        <x:v>SQLite transaction commits spend and replacement operation together after validation</x:v>
      </x:c>
      <x:c r="E21" s="69" t="str">
        <x:v>RUN-005 restart test</x:v>
      </x:c>
      <x:c r="F21" s="69" t="str">
        <x:v>Not Run</x:v>
      </x:c>
      <x:c r="G21" s="69"/>
    </x:row>
    <x:row r="22" ht="21.600000381469727" hidden="0" customHeight="1">
      <x:c r="A22" s="69" t="str">
        <x:v>P-017</x:v>
      </x:c>
      <x:c r="B22" s="69" t="str">
        <x:v>Failure rollback</x:v>
      </x:c>
      <x:c r="C22" s="69" t="str">
        <x:v>Any rejected trade leaves old proof UNSPENT.</x:v>
      </x:c>
      <x:c r="D22" s="69" t="str">
        <x:v>Rejected changed binding leaves input usable; spend occurs only inside final transaction</x:v>
      </x:c>
      <x:c r="E22" s="69" t="str">
        <x:v>RUN-005</x:v>
      </x:c>
      <x:c r="F22" s="69" t="str">
        <x:v>Not Run</x:v>
      </x:c>
      <x:c r="G22" s="69"/>
    </x:row>
    <x:row r="23" ht="15" hidden="0" customHeight="1">
      <x:c r="A23" s="69" t="str">
        <x:v>P-018</x:v>
      </x:c>
      <x:c r="B23" s="69" t="str">
        <x:v>Double spend</x:v>
      </x:c>
      <x:c r="C23" s="69" t="str">
        <x:v>Second spend is rejected and checkstate returns SPENT.</x:v>
      </x:c>
      <x:c r="D23" s="69" t="str">
        <x:v>Second spend rejected and checkstate remains SPENT across restart</x:v>
      </x:c>
      <x:c r="E23" s="69" t="str">
        <x:v>RUN-005</x:v>
      </x:c>
      <x:c r="F23" s="69" t="str">
        <x:v>Not Run</x:v>
      </x:c>
      <x:c r="G23" s="69"/>
    </x:row>
    <x:row r="24" ht="21.600000381469727" hidden="0" customHeight="1">
      <x:c r="A24" s="69" t="str">
        <x:v>P-019</x:v>
      </x:c>
      <x:c r="B24" s="69" t="str">
        <x:v>Recovery</x:v>
      </x:c>
      <x:c r="C24" s="69" t="str">
        <x:v>Lost successful response is recoverable via durable idempotency/state recovery.</x:v>
      </x:c>
      <x:c r="D24" s="69" t="str">
        <x:v>Prepared request/output and idempotency key persist before send; response can be recovered</x:v>
      </x:c>
      <x:c r="E24" s="69" t="str">
        <x:v>RUN-005</x:v>
      </x:c>
      <x:c r="F24" s="69" t="str">
        <x:v>Not Run</x:v>
      </x:c>
      <x:c r="G24" s="69"/>
    </x:row>
    <x:row r="25" ht="15" hidden="0" customHeight="1">
      <x:c r="A25" s="69" t="str">
        <x:v>P-020</x:v>
      </x:c>
      <x:c r="B25" s="69" t="str">
        <x:v>Generic operations</x:v>
      </x:c>
      <x:c r="C25" s="69" t="str">
        <x:v>Swap/melt/other consuming paths cannot strip NutFT metadata.</x:v>
      </x:c>
      <x:c r="D25" s="69" t="str">
        <x:v>Generic swap and melt endpoints absent and asserted 404</x:v>
      </x:c>
      <x:c r="E25" s="69" t="str">
        <x:v>RUN-005</x:v>
      </x:c>
      <x:c r="F25" s="69" t="str">
        <x:v>Not Run</x:v>
      </x:c>
      <x:c r="G25" s="69"/>
    </x:row>
    <x:row r="26" ht="15" hidden="0" customHeight="1">
      <x:c r="A26" s="69" t="str">
        <x:v>P-021</x:v>
      </x:c>
      <x:c r="B26" s="69" t="str">
        <x:v>Malformed input</x:v>
      </x:c>
      <x:c r="C26" s="69" t="str">
        <x:v>Mint rejects malformed/noncanonical secrets before consuming proof.</x:v>
      </x:c>
      <x:c r="D26" s="69" t="str">
        <x:v>Bounded JSON parser and canonical secret/tag/opening validation</x:v>
      </x:c>
      <x:c r="E26" s="69" t="str">
        <x:v>RUN-005</x:v>
      </x:c>
      <x:c r="F26" s="69" t="str">
        <x:v>Not Run</x:v>
      </x:c>
      <x:c r="G26" s="69"/>
    </x:row>
    <x:row r="27" ht="15" hidden="0" customHeight="1">
      <x:c r="A27" s="69" t="str">
        <x:v>P-022</x:v>
      </x:c>
      <x:c r="B27" s="69" t="str">
        <x:v>Keyset binding</x:v>
      </x:c>
      <x:c r="C27" s="69" t="str">
        <x:v>Mint rejects input proof with wrong/unknown keyset id or unit.</x:v>
      </x:c>
      <x:c r="D27" s="69" t="str">
        <x:v>Input proof id must equal active keyset and signature must verify</x:v>
      </x:c>
      <x:c r="E27" s="69" t="str">
        <x:v>RUN-005</x:v>
      </x:c>
      <x:c r="F27" s="69" t="str">
        <x:v>Not Run</x:v>
      </x:c>
      <x:c r="G27" s="69"/>
    </x:row>
    <x:row r="28" ht="21.600000381469727" hidden="0" customHeight="1">
      <x:c r="A28" s="69" t="str">
        <x:v>P-023</x:v>
      </x:c>
      <x:c r="B28" s="69" t="str">
        <x:v>Untrusted catalog data</x:v>
      </x:c>
      <x:c r="C28" s="69" t="str">
        <x:v>Client never executes catalog-provided code.</x:v>
      </x:c>
      <x:c r="D28" s="69" t="str">
        <x:v>Wallet creates metadata nodes with textContent; catalog code is never evaluated</x:v>
      </x:c>
      <x:c r="E28" s="69" t="str">
        <x:v>RUN-009 + source inspection</x:v>
      </x:c>
      <x:c r="F28" s="69" t="str">
        <x:v>Not Run</x:v>
      </x:c>
      <x:c r="G28" s="69"/>
    </x:row>
    <x:row r="29" ht="15" hidden="0" customHeight="1">
      <x:c r="A29" s="69" t="str">
        <x:v>P-024</x:v>
      </x:c>
      <x:c r="B29" s="69" t="str">
        <x:v>Store applet</x:v>
      </x:c>
      <x:c r="C29" s="69" t="str">
        <x:v>Store issues one proof per purchased booster card.</x:v>
      </x:c>
      <x:c r="D29" s="69" t="str">
        <x:v>Store creates one amount-1 proof for each of seven cards</x:v>
      </x:c>
      <x:c r="E29" s="69" t="str">
        <x:v>RUN-009</x:v>
      </x:c>
      <x:c r="F29" s="69" t="str">
        <x:v>Not Run</x:v>
      </x:c>
      <x:c r="G29" s="69"/>
    </x:row>
    <x:row r="30" ht="21.600000381469727" hidden="0" customHeight="1">
      <x:c r="A30" s="69" t="str">
        <x:v>P-025</x:v>
      </x:c>
      <x:c r="B30" s="69" t="str">
        <x:v>Deck applet</x:v>
      </x:c>
      <x:c r="C30" s="69" t="str">
        <x:v>Deck builder reads verified wallet cards and ownership counts.</x:v>
      </x:c>
      <x:c r="D30" s="69" t="str">
        <x:v>Deck builder snapshots verified unspent wallet proofs and enforces copy ownership</x:v>
      </x:c>
      <x:c r="E30" s="69" t="str">
        <x:v>RUN-009</x:v>
      </x:c>
      <x:c r="F30" s="69" t="str">
        <x:v>Not Run</x:v>
      </x:c>
      <x:c r="G30" s="69"/>
    </x:row>
    <x:row r="31" ht="21.600000381469727" hidden="0" customHeight="1">
      <x:c r="A31" s="69" t="str">
        <x:v>P-026</x:v>
      </x:c>
      <x:c r="B31" s="69" t="str">
        <x:v>Gameplay applet</x:v>
      </x:c>
      <x:c r="C31" s="69" t="str">
        <x:v>Gameplay requests possession/control proof and keeps rules outside token.</x:v>
      </x:c>
      <x:c r="D31" s="69" t="str">
        <x:v>Gameplay rechecks NutFT-marked saved decks before start; rules stay in engine</x:v>
      </x:c>
      <x:c r="E31" s="69" t="str">
        <x:v>RUN-006</x:v>
      </x:c>
      <x:c r="F31" s="69" t="str">
        <x:v>Not Run</x:v>
      </x:c>
      <x:c r="G31" s="69"/>
    </x:row>
  </x:sheetData>
  <x:mergeCells>
    <x:mergeCell ref="A1:G1"/>
    <x:mergeCell ref="A2:G2"/>
  </x:mergeCells>
  <x:conditionalFormatting sqref="F6:F31">
    <x:cfRule type="containsText" dxfId="4" priority="1" operator="containsText" text="Pass"/>
    <x:cfRule type="containsText" dxfId="5" priority="2" operator="containsText" text="Fail"/>
    <x:cfRule type="containsText" dxfId="6" priority="3" operator="containsText" text="Blocked"/>
    <x:cfRule type="containsText" dxfId="7" priority="4" operator="containsText" text="Not Run"/>
  </x:conditionalFormatting>
  <x:dataValidations count="1">
    <x:dataValidation type="list" sqref="F6:F31">
      <x:formula1>"Not Run,Pass,Fail,Blocked,Not Applicable"</x:formula1>
    </x:dataValidation>
  </x:dataValidations>
  <x:pageMargins left="0.7" right="0.7" top="0.75" bottom="0.75" header="0.3" footer="0.3"/>
  <x:tableParts count="1">
    <x:tablePart xmlns:r="http://schemas.openxmlformats.org/officeDocument/2006/relationships" r:id="R5c6f8e049ecf4058"/>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2" hidden="0" customWidth="1"/>
    <x:col min="3" max="3" width="22" hidden="0" customWidth="1"/>
    <x:col min="4" max="4" width="52" hidden="0" customWidth="1"/>
    <x:col min="5" max="5" width="48" hidden="0" customWidth="1"/>
    <x:col min="6" max="6" width="48" hidden="0" customWidth="1"/>
    <x:col min="7" max="7" width="48" hidden="0" customWidth="1"/>
    <x:col min="8" max="8" width="38" hidden="0" customWidth="1"/>
    <x:col min="9" max="9" width="38" hidden="0" customWidth="1"/>
    <x:col min="10" max="10" width="18" hidden="0" customWidth="1"/>
    <x:col min="11" max="11" width="16" hidden="0" customWidth="1"/>
  </x:cols>
  <x:sheetData>
    <x:row r="1" ht="15" hidden="0" customHeight="1">
      <x:c r="A1" s="65" t="str">
        <x:v>Defects</x:v>
      </x:c>
      <x:c r="B1" s="66"/>
      <x:c r="C1" s="66"/>
      <x:c r="D1" s="66"/>
      <x:c r="E1" s="66"/>
      <x:c r="F1" s="66"/>
      <x:c r="G1" s="66"/>
      <x:c r="H1" s="66"/>
      <x:c r="I1" s="66"/>
      <x:c r="J1" s="66"/>
      <x:c r="K1" s="66"/>
      <x:c r="L1" s="67"/>
      <x:c r="M1" s="67"/>
      <x:c r="N1" s="67"/>
      <x:c r="O1" s="67"/>
      <x:c r="P1" s="67"/>
      <x:c r="Q1" s="67"/>
      <x:c r="R1" s="67"/>
      <x:c r="S1" s="67"/>
      <x:c r="T1" s="67"/>
      <x:c r="U1" s="67"/>
      <x:c r="V1" s="67"/>
      <x:c r="W1" s="67"/>
      <x:c r="X1" s="67"/>
      <x:c r="Y1" s="67"/>
      <x:c r="Z1" s="67"/>
    </x:row>
    <x:row r="2" ht="15" hidden="0" customHeight="1">
      <x:c r="A2" s="68" t="str">
        <x:v>Every observed protocol, logistics, UX, durability, or test-infrastructure error. Fixes require a regression check and commit.</x:v>
      </x:c>
      <x:c r="B2" s="66"/>
      <x:c r="C2" s="66"/>
      <x:c r="D2" s="66"/>
      <x:c r="E2" s="66"/>
      <x:c r="F2" s="66"/>
      <x:c r="G2" s="66"/>
      <x:c r="H2" s="66"/>
      <x:c r="I2" s="66"/>
      <x:c r="J2" s="66"/>
      <x:c r="K2" s="66"/>
      <x:c r="L2" s="67"/>
      <x:c r="M2" s="67"/>
      <x:c r="N2" s="67"/>
      <x:c r="O2" s="67"/>
      <x:c r="P2" s="67"/>
      <x:c r="Q2" s="67"/>
      <x:c r="R2" s="67"/>
      <x:c r="S2" s="67"/>
      <x:c r="T2" s="67"/>
      <x:c r="U2" s="67"/>
      <x:c r="V2" s="67"/>
      <x:c r="W2" s="67"/>
      <x:c r="X2" s="67"/>
      <x:c r="Y2" s="67"/>
      <x:c r="Z2" s="67"/>
    </x:row>
    <x:row r="3" ht="15" hidden="0" customHeight="1">
      <x:c r="A3" s="58"/>
      <x:c r="B3" s="58"/>
      <x:c r="C3" s="58"/>
      <x:c r="D3" s="58"/>
      <x:c r="E3" s="58"/>
      <x:c r="F3" s="58"/>
      <x:c r="G3" s="58"/>
      <x:c r="H3" s="58"/>
      <x:c r="I3" s="58"/>
      <x:c r="J3" s="58"/>
      <x:c r="K3" s="58"/>
    </x:row>
    <x:row r="4" ht="15" hidden="0" customHeight="1">
      <x:c r="A4" s="58"/>
      <x:c r="B4" s="58"/>
      <x:c r="C4" s="58"/>
      <x:c r="D4" s="58"/>
      <x:c r="E4" s="58"/>
      <x:c r="F4" s="58"/>
      <x:c r="G4" s="58"/>
      <x:c r="H4" s="58"/>
      <x:c r="I4" s="58"/>
      <x:c r="J4" s="58"/>
      <x:c r="K4" s="58"/>
    </x:row>
    <x:row r="5" ht="15" hidden="0" customHeight="1">
      <x:c r="A5" s="60" t="str">
        <x:v>ID</x:v>
      </x:c>
      <x:c r="B5" s="61" t="str">
        <x:v>Severity</x:v>
      </x:c>
      <x:c r="C5" s="61" t="str">
        <x:v>Area</x:v>
      </x:c>
      <x:c r="D5" s="61" t="str">
        <x:v>Summary</x:v>
      </x:c>
      <x:c r="E5" s="61" t="str">
        <x:v>Reproduction</x:v>
      </x:c>
      <x:c r="F5" s="61" t="str">
        <x:v>Expected</x:v>
      </x:c>
      <x:c r="G5" s="61" t="str">
        <x:v>Actual</x:v>
      </x:c>
      <x:c r="H5" s="61" t="str">
        <x:v>Source evidence</x:v>
      </x:c>
      <x:c r="I5" s="61" t="str">
        <x:v>Regression test</x:v>
      </x:c>
      <x:c r="J5" s="61" t="str">
        <x:v>Fix commit</x:v>
      </x:c>
      <x:c r="K5" s="62" t="str">
        <x:v>Status</x:v>
      </x:c>
    </x:row>
    <x:row r="6" ht="15" hidden="0" customHeight="1">
      <x:c r="A6" s="69" t="str">
        <x:v>D-001</x:v>
      </x:c>
      <x:c r="B6" s="69" t="str">
        <x:v>Critical</x:v>
      </x:c>
      <x:c r="C6" s="69" t="str">
        <x:v>NutFT wallet</x:v>
      </x:c>
      <x:c r="D6" s="69" t="str">
        <x:v>Wallet reload crashes because snapshot references undefined keyset.</x:v>
      </x:c>
      <x:c r="E6" s="69" t="str">
        <x:v>Buy a mint booster, then open /wallet.html.</x:v>
      </x:c>
      <x:c r="F6" s="69" t="str">
        <x:v>Seven verified card tiles.</x:v>
      </x:c>
      <x:c r="G6" s="69" t="str">
        <x:v>Error: keyset is not defined; zero tiles.</x:v>
      </x:c>
      <x:c r="H6" s="69" t="str">
        <x:v>site/nutft-wallet.js:124-132</x:v>
      </x:c>
      <x:c r="I6" s="69" t="str">
        <x:v>Add browser/unit regression for purchase→reload</x:v>
      </x:c>
      <x:c r="J6" s="69" t="str">
        <x:v>b706922</x:v>
      </x:c>
      <x:c r="K6" s="69" t="str">
        <x:v>Verified</x:v>
      </x:c>
    </x:row>
    <x:row r="7" ht="15" hidden="0" customHeight="1">
      <x:c r="A7" s="69" t="str">
        <x:v>D-002</x:v>
      </x:c>
      <x:c r="B7" s="69" t="str">
        <x:v>High</x:v>
      </x:c>
      <x:c r="C7" s="69" t="str">
        <x:v>NutFT capability</x:v>
      </x:c>
      <x:c r="D7" s="69" t="str">
        <x:v>Wallet uses P2BK/DLEQ without checking NUT-31 mint capabilities.</x:v>
      </x:c>
      <x:c r="E7" s="69" t="str">
        <x:v>Return info without NUT-31 or p2bk/dleq and buy.</x:v>
      </x:c>
      <x:c r="F7" s="69" t="str">
        <x:v>Wallet refuses before sending outputs.</x:v>
      </x:c>
      <x:c r="G7" s="69" t="str">
        <x:v>Wallet never requests /v1/info.</x:v>
      </x:c>
      <x:c r="H7" s="69" t="str">
        <x:v>31.md Capability advertisement; site/nutft-wallet.js:48</x:v>
      </x:c>
      <x:c r="I7" s="69" t="str">
        <x:v>Add unsupported capability tests</x:v>
      </x:c>
      <x:c r="J7" s="69" t="str">
        <x:v>b706922</x:v>
      </x:c>
      <x:c r="K7" s="69" t="str">
        <x:v>Verified</x:v>
      </x:c>
    </x:row>
    <x:row r="8" ht="15" hidden="0" customHeight="1">
      <x:c r="A8" s="69" t="str">
        <x:v>D-003</x:v>
      </x:c>
      <x:c r="B8" s="69" t="str">
        <x:v>High</x:v>
      </x:c>
      <x:c r="C8" s="69" t="str">
        <x:v>Catalog trust</x:v>
      </x:c>
      <x:c r="D8" s="69" t="str">
        <x:v>Catalog self-authorizes by supplying the issuer key verified by wallet.</x:v>
      </x:c>
      <x:c r="E8" s="69" t="str">
        <x:v>Serve modified catalog signed by attacker key.</x:v>
      </x:c>
      <x:c r="F8" s="69" t="str">
        <x:v>Pinned application authority rejects it.</x:v>
      </x:c>
      <x:c r="G8" s="69" t="str">
        <x:v>Any internally valid key/signature pair is accepted.</x:v>
      </x:c>
      <x:c r="H8" s="69" t="str">
        <x:v>site/nutft-wallet.js:115-121</x:v>
      </x:c>
      <x:c r="I8" s="69" t="str">
        <x:v>Add attacker self-signed catalog test</x:v>
      </x:c>
      <x:c r="J8" s="69" t="str">
        <x:v>b706922</x:v>
      </x:c>
      <x:c r="K8" s="69" t="str">
        <x:v>Verified</x:v>
      </x:c>
    </x:row>
    <x:row r="9" ht="15" hidden="0" customHeight="1">
      <x:c r="A9" s="69" t="str">
        <x:v>D-004</x:v>
      </x:c>
      <x:c r="B9" s="69" t="str">
        <x:v>High</x:v>
      </x:c>
      <x:c r="C9" s="69" t="str">
        <x:v>Catalog integrity</x:v>
      </x:c>
      <x:c r="D9" s="69" t="str">
        <x:v>Wallet ignores proof catalog_uri and fetches current mint catalog at a mutable URL.</x:v>
      </x:c>
      <x:c r="E9" s="69" t="str">
        <x:v>Issue proof, change current catalog endpoint, reload.</x:v>
      </x:c>
      <x:c r="F9" s="69" t="str">
        <x:v>Fetch/verify exact immutable pointer in proof.</x:v>
      </x:c>
      <x:c r="G9" s="69" t="str">
        <x:v>Fetches mintUrl/nutft/catalog.</x:v>
      </x:c>
      <x:c r="H9" s="69" t="str">
        <x:v>site/nutft-wallet.js:126</x:v>
      </x:c>
      <x:c r="I9" s="69" t="str">
        <x:v>Add exact-pointer and mutation tests</x:v>
      </x:c>
      <x:c r="J9" s="69" t="str">
        <x:v>b706922</x:v>
      </x:c>
      <x:c r="K9" s="69" t="str">
        <x:v>Verified</x:v>
      </x:c>
    </x:row>
    <x:row r="10" ht="15" hidden="0" customHeight="1">
      <x:c r="A10" s="69" t="str">
        <x:v>D-005</x:v>
      </x:c>
      <x:c r="B10" s="69" t="str">
        <x:v>Critical</x:v>
      </x:c>
      <x:c r="C10" s="69" t="str">
        <x:v>Catalog UX/security</x:v>
      </x:c>
      <x:c r="D10" s="69" t="str">
        <x:v>Signed-but-untrusted catalog text is inserted with innerHTML.</x:v>
      </x:c>
      <x:c r="E10" s="69" t="str">
        <x:v>Serve asset name/tier containing HTML/event attributes.</x:v>
      </x:c>
      <x:c r="F10" s="69" t="str">
        <x:v>Metadata renders as inert text.</x:v>
      </x:c>
      <x:c r="G10" s="69" t="str">
        <x:v>HTML is interpreted in wallet tiles/meta.</x:v>
      </x:c>
      <x:c r="H10" s="69" t="str">
        <x:v>site/wallet.html:57,66</x:v>
      </x:c>
      <x:c r="I10" s="69" t="str">
        <x:v>Add malicious metadata browser test</x:v>
      </x:c>
      <x:c r="J10" s="69" t="str">
        <x:v>b706922</x:v>
      </x:c>
      <x:c r="K10" s="69" t="str">
        <x:v>Verified</x:v>
      </x:c>
    </x:row>
    <x:row r="11" ht="15" hidden="0" customHeight="1">
      <x:c r="A11" s="69" t="str">
        <x:v>D-006</x:v>
      </x:c>
      <x:c r="B11" s="69" t="str">
        <x:v>High</x:v>
      </x:c>
      <x:c r="C11" s="69" t="str">
        <x:v>Mint validation</x:v>
      </x:c>
      <x:c r="D11" s="69" t="str">
        <x:v>Mint does not enforce exactly one NutFT tag/non-empty canonical fields.</x:v>
      </x:c>
      <x:c r="E11" s="69" t="str">
        <x:v>Submit signed proof secret with duplicate/malformed tag.</x:v>
      </x:c>
      <x:c r="F11" s="69" t="str">
        <x:v>Reject before spend.</x:v>
      </x:c>
      <x:c r="G11" s="69" t="str">
        <x:v>getTag reads one tag; limited shape checks.</x:v>
      </x:c>
      <x:c r="H11" s="69" t="str">
        <x:v>server/nutft-mint.js:176-184</x:v>
      </x:c>
      <x:c r="I11" s="69" t="str">
        <x:v>Add malformed/duplicate tag tests</x:v>
      </x:c>
      <x:c r="J11" s="69" t="str">
        <x:v>67d1812</x:v>
      </x:c>
      <x:c r="K11" s="69" t="str">
        <x:v>Verified</x:v>
      </x:c>
    </x:row>
    <x:row r="12" ht="15" hidden="0" customHeight="1">
      <x:c r="A12" s="69" t="str">
        <x:v>D-007</x:v>
      </x:c>
      <x:c r="B12" s="69" t="str">
        <x:v>High</x:v>
      </x:c>
      <x:c r="C12" s="69" t="str">
        <x:v>Mint validation</x:v>
      </x:c>
      <x:c r="D12" s="69" t="str">
        <x:v>Trade does not explicitly require input.id to equal active collection keyset.</x:v>
      </x:c>
      <x:c r="E12" s="69" t="str">
        <x:v>Alter serialized proof id while retaining signature fields.</x:v>
      </x:c>
      <x:c r="F12" s="69" t="str">
        <x:v>Reject wrong keyset id without spending.</x:v>
      </x:c>
      <x:c r="G12" s="69" t="str">
        <x:v>Signature check receives active private key but id is not compared.</x:v>
      </x:c>
      <x:c r="H12" s="69" t="str">
        <x:v>server/nutft-mint.js:182</x:v>
      </x:c>
      <x:c r="I12" s="69" t="str">
        <x:v>Add wrong-id test and state assertion</x:v>
      </x:c>
      <x:c r="J12" s="69" t="str">
        <x:v>67d1812</x:v>
      </x:c>
      <x:c r="K12" s="69" t="str">
        <x:v>Verified</x:v>
      </x:c>
    </x:row>
    <x:row r="13" ht="15" hidden="0" customHeight="1">
      <x:c r="A13" s="69" t="str">
        <x:v>D-008</x:v>
      </x:c>
      <x:c r="B13" s="69" t="str">
        <x:v>High</x:v>
      </x:c>
      <x:c r="C13" s="69" t="str">
        <x:v>Trading UX</x:v>
      </x:c>
      <x:c r="D13" s="69" t="str">
        <x:v>Website has no recipient/import flow; trade helper only self-swaps.</x:v>
      </x:c>
      <x:c r="E13" s="69" t="str">
        <x:v>Open wallet and try to transfer to another wallet.</x:v>
      </x:c>
      <x:c r="F13" s="69" t="str">
        <x:v>Recipient key/token workflow available end-to-end.</x:v>
      </x:c>
      <x:c r="G13" s="69" t="str">
        <x:v>No controls; output pubkey is sender's own key.</x:v>
      </x:c>
      <x:c r="H13" s="69" t="str">
        <x:v>site/nutft-wallet.js:145-180; site/wallet.html</x:v>
      </x:c>
      <x:c r="I13" s="69" t="str">
        <x:v>Add two-wallet browser trade test</x:v>
      </x:c>
      <x:c r="J13" s="69" t="str">
        <x:v>b91099a</x:v>
      </x:c>
      <x:c r="K13" s="69" t="str">
        <x:v>Verified</x:v>
      </x:c>
    </x:row>
    <x:row r="14" ht="15" hidden="0" customHeight="1">
      <x:c r="A14" s="69" t="str">
        <x:v>D-009</x:v>
      </x:c>
      <x:c r="B14" s="69" t="str">
        <x:v>High</x:v>
      </x:c>
      <x:c r="C14" s="69" t="str">
        <x:v>Trade recovery</x:v>
      </x:c>
      <x:c r="D14" s="69" t="str">
        <x:v>Wallet loses idempotency key and output secrets if response is lost.</x:v>
      </x:c>
      <x:c r="E14" s="69" t="str">
        <x:v>Commit trade then abort response; retry transfer.</x:v>
      </x:c>
      <x:c r="F14" s="69" t="str">
        <x:v>Retry recovers same output/proof exactly once.</x:v>
      </x:c>
      <x:c r="G14" s="69" t="str">
        <x:v>New random request is generated on every call.</x:v>
      </x:c>
      <x:c r="H14" s="69" t="str">
        <x:v>site/nutft-wallet.js:157-178</x:v>
      </x:c>
      <x:c r="I14" s="69" t="str">
        <x:v>Add dropped-response regression</x:v>
      </x:c>
      <x:c r="J14" s="69" t="str">
        <x:v>a17cd22 / b91099a</x:v>
      </x:c>
      <x:c r="K14" s="69" t="str">
        <x:v>Verified</x:v>
      </x:c>
    </x:row>
    <x:row r="15" ht="21.600000381469727" hidden="0" customHeight="1">
      <x:c r="A15" s="69" t="str">
        <x:v>D-010</x:v>
      </x:c>
      <x:c r="B15" s="69" t="str">
        <x:v>High</x:v>
      </x:c>
      <x:c r="C15" s="69" t="str">
        <x:v>Applet integration</x:v>
      </x:c>
      <x:c r="D15" s="69" t="str">
        <x:v>Stack Builder trusts unrestricted catalog/shop handoff instead of verified wallet holdings.</x:v>
      </x:c>
      <x:c r="E15" s="69" t="str">
        <x:v>Buy one booster, then build copies/cards not owned.</x:v>
      </x:c>
      <x:c r="F15" s="69" t="str">
        <x:v>NutFT mode limits copies to verified unspent proofs.</x:v>
      </x:c>
      <x:c r="G15" s="69" t="str">
        <x:v>No NutFT wallet read in deck.html.</x:v>
      </x:c>
      <x:c r="H15" s="69" t="str">
        <x:v>docs/demo-spec.md §7; site/deck.html</x:v>
      </x:c>
      <x:c r="I15" s="69" t="str">
        <x:v>Add owned-copy browser tests</x:v>
      </x:c>
      <x:c r="J15" s="69" t="str">
        <x:v>10a1922</x:v>
      </x:c>
      <x:c r="K15" s="69" t="str">
        <x:v>Verified</x:v>
      </x:c>
    </x:row>
    <x:row r="16" ht="15" hidden="0" customHeight="1">
      <x:c r="A16" s="69" t="str">
        <x:v>D-011</x:v>
      </x:c>
      <x:c r="B16" s="69" t="str">
        <x:v>High</x:v>
      </x:c>
      <x:c r="C16" s="69" t="str">
        <x:v>Applet integration</x:v>
      </x:c>
      <x:c r="D16" s="69" t="str">
        <x:v>Gameplay starts custom decks without proving NutFT possession.</x:v>
      </x:c>
      <x:c r="E16" s="69" t="str">
        <x:v>Create arbitrary saved list and start game.</x:v>
      </x:c>
      <x:c r="F16" s="69" t="str">
        <x:v>NutFT-backed mode requires current controlled proofs.</x:v>
      </x:c>
      <x:c r="G16" s="69" t="str">
        <x:v>play.js reads card IDs only.</x:v>
      </x:c>
      <x:c r="H16" s="69" t="str">
        <x:v>docs/demo-spec.md §7; site/play.js:4220</x:v>
      </x:c>
      <x:c r="I16" s="69" t="str">
        <x:v>Add valid/missing/spent possession tests</x:v>
      </x:c>
      <x:c r="J16" s="69" t="str">
        <x:v>10a1922</x:v>
      </x:c>
      <x:c r="K16" s="69" t="str">
        <x:v>Verified</x:v>
      </x:c>
    </x:row>
    <x:row r="17" ht="15" hidden="0" customHeight="1">
      <x:c r="A17" s="69" t="str">
        <x:v>D-012</x:v>
      </x:c>
      <x:c r="B17" s="69" t="str">
        <x:v>Low</x:v>
      </x:c>
      <x:c r="C17" s="69" t="str">
        <x:v>Test logistics</x:v>
      </x:c>
      <x:c r="D17" s="69" t="str">
        <x:v>Python page inventory test was not updated for wallet.html.</x:v>
      </x:c>
      <x:c r="E17" s="69" t="str">
        <x:v>Run uv run --frozen pytest -q.</x:v>
      </x:c>
      <x:c r="F17" s="69" t="str">
        <x:v>New page is expected by repo contract.</x:v>
      </x:c>
      <x:c r="G17" s="69" t="str">
        <x:v>test_static_site_pages_live_together fails.</x:v>
      </x:c>
      <x:c r="H17" s="69" t="str">
        <x:v>tests/test_repo_structure.py:10</x:v>
      </x:c>
      <x:c r="I17" s="69" t="str">
        <x:v>Update expectation first with product test</x:v>
      </x:c>
      <x:c r="J17" s="69" t="str">
        <x:v>9ae88f1</x:v>
      </x:c>
      <x:c r="K17" s="69" t="str">
        <x:v>Verified</x:v>
      </x:c>
    </x:row>
    <x:row r="18" ht="21.600000381469727" hidden="0" customHeight="1">
      <x:c r="A18" s="69" t="str">
        <x:v>D-013</x:v>
      </x:c>
      <x:c r="B18" s="69" t="str">
        <x:v>Medium</x:v>
      </x:c>
      <x:c r="C18" s="69" t="str">
        <x:v>Store UX</x:v>
      </x:c>
      <x:c r="D18" s="69" t="str">
        <x:v>Mint-mode hero/footer still claims a published fixed shuffle/box verification that does not describe the census draw.</x:v>
      </x:c>
      <x:c r="E18" s="69" t="str">
        <x:v>Open /shop.html?shop=mint and read hero/proof sections.</x:v>
      </x:c>
      <x:c r="F18" s="69" t="str">
        <x:v>Mode copy describes census/beacon and what is/not publicly verifiable.</x:v>
      </x:c>
      <x:c r="G18" s="69" t="str">
        <x:v>Free-box copy remains visible in mint mode.</x:v>
      </x:c>
      <x:c r="H18" s="69" t="str">
        <x:v>site/shop.html; site/shop.js:722</x:v>
      </x:c>
      <x:c r="I18" s="69" t="str">
        <x:v>Add mode-copy browser assertion</x:v>
      </x:c>
      <x:c r="J18" s="69" t="str">
        <x:v>9ae88f1</x:v>
      </x:c>
      <x:c r="K18" s="69" t="str">
        <x:v>Verified</x:v>
      </x:c>
    </x:row>
    <x:row r="19" ht="15" hidden="0" customHeight="1">
      <x:c r="A19" s="69" t="str">
        <x:v>D-014</x:v>
      </x:c>
      <x:c r="B19" s="69" t="str">
        <x:v>High</x:v>
      </x:c>
      <x:c r="C19" s="69" t="str">
        <x:v>Wallet durability</x:v>
      </x:c>
      <x:c r="D19" s="69" t="str">
        <x:v>Malformed localStorage silently becomes an empty wallet in memory.</x:v>
      </x:c>
      <x:c r="E19" s="69" t="str">
        <x:v>Set 600b:nutft-wallet to invalid JSON and load.</x:v>
      </x:c>
      <x:c r="F19" s="69" t="str">
        <x:v>Non-destructive actionable error; raw value preserved/exportable.</x:v>
      </x:c>
      <x:c r="G19" s="69" t="str">
        <x:v>read() catches and creates empty state.</x:v>
      </x:c>
      <x:c r="H19" s="69" t="str">
        <x:v>site/nutft-wallet.js:21-29</x:v>
      </x:c>
      <x:c r="I19" s="69" t="str">
        <x:v>Add corruption/no-overwrite test</x:v>
      </x:c>
      <x:c r="J19" s="69" t="str">
        <x:v>b706922 / 04faa94</x:v>
      </x:c>
      <x:c r="K19" s="69" t="str">
        <x:v>Verified</x:v>
      </x:c>
    </x:row>
    <x:row r="20" ht="15" hidden="0" customHeight="1">
      <x:c r="A20" s="69" t="str">
        <x:v>D-015</x:v>
      </x:c>
      <x:c r="B20" s="69" t="str">
        <x:v>Medium</x:v>
      </x:c>
      <x:c r="C20" s="69" t="str">
        <x:v>Wallet resilience</x:v>
      </x:c>
      <x:c r="D20" s="69" t="str">
        <x:v>One invalid proof or failed Blossom face aborts rendering every wallet card.</x:v>
      </x:c>
      <x:c r="E20" s="69" t="str">
        <x:v>Mix valid card with one bad proof/face.</x:v>
      </x:c>
      <x:c r="F20" s="69" t="str">
        <x:v>Valid cards render; bad card is isolated with reason.</x:v>
      </x:c>
      <x:c r="G20" s="69" t="str">
        <x:v>snapshot/render throw from shared loop.</x:v>
      </x:c>
      <x:c r="H20" s="69" t="str">
        <x:v>site/nutft-wallet.js:129; site/wallet.html:59</x:v>
      </x:c>
      <x:c r="I20" s="69" t="str">
        <x:v>Add mixed-wallet browser test</x:v>
      </x:c>
      <x:c r="J20" s="69" t="str">
        <x:v>b706922</x:v>
      </x:c>
      <x:c r="K20" s="69" t="str">
        <x:v>Verified</x:v>
      </x:c>
    </x:row>
    <x:row r="21" ht="21.600000381469727" hidden="0" customHeight="1">
      <x:c r="A21" s="69" t="str">
        <x:v>D-016</x:v>
      </x:c>
      <x:c r="B21" s="69" t="str">
        <x:v>High</x:v>
      </x:c>
      <x:c r="C21" s="69" t="str">
        <x:v>Deployment</x:v>
      </x:c>
      <x:c r="D21" s="69" t="str">
        <x:v>Default token catalog_uri is localhost and must be manually overridden for any hosted website.</x:v>
      </x:c>
      <x:c r="E21" s="69" t="str">
        <x:v>Deploy without NUTFT_CATALOG_URI and mint a proof.</x:v>
      </x:c>
      <x:c r="F21" s="69" t="str">
        <x:v>Published token points to reachable immutable catalog.</x:v>
      </x:c>
      <x:c r="G21" s="69" t="str">
        <x:v>Default http://localhost:8777/nutft/catalog.</x:v>
      </x:c>
      <x:c r="H21" s="69" t="str">
        <x:v>server/nutft-mint.js:61</x:v>
      </x:c>
      <x:c r="I21" s="69" t="str">
        <x:v>Add boot/config validation or request-derived documented setup</x:v>
      </x:c>
      <x:c r="J21" s="69" t="str">
        <x:v>04faa94</x:v>
      </x:c>
      <x:c r="K21" s="69" t="str">
        <x:v>Verified</x:v>
      </x:c>
    </x:row>
    <x:row r="22" ht="15" hidden="0" customHeight="1">
      <x:c r="A22" s="69" t="str">
        <x:v>D-017</x:v>
      </x:c>
      <x:c r="B22" s="69" t="str">
        <x:v>Medium</x:v>
      </x:c>
      <x:c r="C22" s="69" t="str">
        <x:v>Platform smoke</x:v>
      </x:c>
      <x:c r="D22" s="69" t="str">
        <x:v>play.html logs an unidentified 404 during initial browser load.</x:v>
      </x:c>
      <x:c r="E22" s="69" t="str">
        <x:v>Open /play.html under table server and capture console/network.</x:v>
      </x:c>
      <x:c r="F22" s="69" t="str">
        <x:v>No missing runtime asset/request.</x:v>
      </x:c>
      <x:c r="G22" s="69" t="str">
        <x:v>Console: Failed to load resource 404.</x:v>
      </x:c>
      <x:c r="H22" s="69" t="str">
        <x:v>Browser baseline 2026-08-20</x:v>
      </x:c>
      <x:c r="I22" s="69" t="str">
        <x:v>Capture exact request then add smoke assertion</x:v>
      </x:c>
      <x:c r="J22" s="69" t="str">
        <x:v>9ae88f1</x:v>
      </x:c>
      <x:c r="K22" s="69" t="str">
        <x:v>Verified</x:v>
      </x:c>
    </x:row>
    <x:row r="23" ht="15" hidden="0" customHeight="1">
      <x:c r="A23" s="69" t="str">
        <x:v>D-018</x:v>
      </x:c>
      <x:c r="B23" s="69" t="str">
        <x:v>Medium</x:v>
      </x:c>
      <x:c r="C23" s="69" t="str">
        <x:v>Repository checks</x:v>
      </x:c>
      <x:c r="D23" s="69" t="str">
        <x:v>Six pre-existing Python checks require absent historical art inputs or host-specific fonts.</x:v>
      </x:c>
      <x:c r="E23" s="69" t="str">
        <x:v>Run uv run --frozen pytest -q on clean remote branch.</x:v>
      </x:c>
      <x:c r="F23" s="69" t="str">
        <x:v>Documented fixtures/dependencies or deterministic skips.</x:v>
      </x:c>
      <x:c r="G23" s="69" t="str">
        <x:v>6 failures remain after tracked runtime art checkout.</x:v>
      </x:c>
      <x:c r="H23" s="69" t="str">
        <x:v>pytest baseline 2026-08-20</x:v>
      </x:c>
      <x:c r="I23" s="69" t="str">
        <x:v>Separate app fixes from art-pipeline repair</x:v>
      </x:c>
      <x:c r="J23" s="69" t="str"/>
      <x:c r="K23" s="69" t="str">
        <x:v>Triaged</x:v>
      </x:c>
    </x:row>
    <x:row r="24" ht="21.600000381469727" hidden="0" customHeight="1">
      <x:c r="A24" s="69" t="str">
        <x:v>D-019</x:v>
      </x:c>
      <x:c r="B24" s="69" t="str">
        <x:v>Critical</x:v>
      </x:c>
      <x:c r="C24" s="69" t="str">
        <x:v>Output integrity</x:v>
      </x:c>
      <x:c r="D24" s="69" t="str">
        <x:v>A clear asset declaration could differ from the hidden blinded secret, so the mint could sign a metadata-dropping proof.</x:v>
      </x:c>
      <x:c r="E24" s="69" t="str">
        <x:v>Submit B_ for a different hidden secret beside a valid declaration.</x:v>
      </x:c>
      <x:c r="F24" s="69" t="str">
        <x:v>Mint proves the signed secret carries the declared binding.</x:v>
      </x:c>
      <x:c r="G24" s="69" t="str">
        <x:v>Original design could not prove this without ZK.</x:v>
      </x:c>
      <x:c r="H24" s="69" t="str">
        <x:v>NUT-31 adversarial review</x:v>
      </x:c>
      <x:c r="I24" s="69" t="str">
        <x:v>Output opening mismatch tests</x:v>
      </x:c>
      <x:c r="J24" s="69" t="str">
        <x:v>67d1812 / NutFT 405614e</x:v>
      </x:c>
      <x:c r="K24" s="69" t="str">
        <x:v>Verified</x:v>
      </x:c>
    </x:row>
    <x:row r="25" ht="15" hidden="0" customHeight="1">
      <x:c r="A25" s="69" t="str">
        <x:v>D-020</x:v>
      </x:c>
      <x:c r="B25" s="69" t="str">
        <x:v>Critical</x:v>
      </x:c>
      <x:c r="C25" s="69" t="str">
        <x:v>Mint key custody</x:v>
      </x:c>
      <x:c r="D25" s="69" t="str">
        <x:v>Deterministic public demo seeds made mint and catalog issuer private keys derivable.</x:v>
      </x:c>
      <x:c r="E25" s="69" t="str">
        <x:v>Recompute documented fixed seeds.</x:v>
      </x:c>
      <x:c r="F25" s="69" t="str">
        <x:v>Unpredictable persisted keys.</x:v>
      </x:c>
      <x:c r="G25" s="69" t="str">
        <x:v>Anyone could forge signatures.</x:v>
      </x:c>
      <x:c r="H25" s="69" t="str">
        <x:v>Adversarial security review</x:v>
      </x:c>
      <x:c r="I25" s="69" t="str">
        <x:v>Restart preserves random keyset/issuer</x:v>
      </x:c>
      <x:c r="J25" s="69" t="str">
        <x:v>a17cd22</x:v>
      </x:c>
      <x:c r="K25" s="69" t="str">
        <x:v>Verified</x:v>
      </x:c>
    </x:row>
    <x:row r="26" ht="15" hidden="0" customHeight="1">
      <x:c r="A26" s="69" t="str">
        <x:v>D-021</x:v>
      </x:c>
      <x:c r="B26" s="69" t="str">
        <x:v>High</x:v>
      </x:c>
      <x:c r="C26" s="69" t="str">
        <x:v>Mint durability</x:v>
      </x:c>
      <x:c r="D26" s="69" t="str">
        <x:v>Spent state, booster cursor, and idempotency results were lost on restart.</x:v>
      </x:c>
      <x:c r="E26" s="69" t="str">
        <x:v>Complete operations and restart process.</x:v>
      </x:c>
      <x:c r="F26" s="69" t="str">
        <x:v>No replay/double spend and exact response recovery.</x:v>
      </x:c>
      <x:c r="G26" s="69" t="str">
        <x:v>In-memory maps reset.</x:v>
      </x:c>
      <x:c r="H26" s="69" t="str">
        <x:v>Adversarial security review</x:v>
      </x:c>
      <x:c r="I26" s="69" t="str">
        <x:v>SQLite restart regression</x:v>
      </x:c>
      <x:c r="J26" s="69" t="str">
        <x:v>a17cd22</x:v>
      </x:c>
      <x:c r="K26" s="69" t="str">
        <x:v>Verified</x:v>
      </x:c>
    </x:row>
    <x:row r="27" ht="15" hidden="0" customHeight="1">
      <x:c r="A27" s="69" t="str">
        <x:v>D-022</x:v>
      </x:c>
      <x:c r="B27" s="69" t="str">
        <x:v>High</x:v>
      </x:c>
      <x:c r="C27" s="69" t="str">
        <x:v>Issuance recovery</x:v>
      </x:c>
      <x:c r="D27" s="69" t="str">
        <x:v>A lost booster response could consume inventory while the wallet lost output secrets.</x:v>
      </x:c>
      <x:c r="E27" s="69" t="str">
        <x:v>Drop response after commit.</x:v>
      </x:c>
      <x:c r="F27" s="69" t="str">
        <x:v>Retry same durable operation and finalize once.</x:v>
      </x:c>
      <x:c r="G27" s="69" t="str">
        <x:v>Original request was not durable.</x:v>
      </x:c>
      <x:c r="H27" s="69" t="str">
        <x:v>Adversarial security review</x:v>
      </x:c>
      <x:c r="I27" s="69" t="str">
        <x:v>Lost-response wallet regression</x:v>
      </x:c>
      <x:c r="J27" s="69" t="str">
        <x:v>a17cd22 / b91099a</x:v>
      </x:c>
      <x:c r="K27" s="69" t="str">
        <x:v>Verified</x:v>
      </x:c>
    </x:row>
    <x:row r="28" ht="15" hidden="0" customHeight="1">
      <x:c r="A28" s="69" t="str">
        <x:v>D-023</x:v>
      </x:c>
      <x:c r="B28" s="69" t="str">
        <x:v>High</x:v>
      </x:c>
      <x:c r="C28" s="69" t="str">
        <x:v>P2BK enforcement</x:v>
      </x:c>
      <x:c r="D28" s="69" t="str">
        <x:v>Mint did not require P2BK on every demo output.</x:v>
      </x:c>
      <x:c r="E28" s="69" t="str">
        <x:v>Submit ordinary P2PK output.</x:v>
      </x:c>
      <x:c r="F28" s="69" t="str">
        <x:v>Reject because demo profile requires P2BK.</x:v>
      </x:c>
      <x:c r="G28" s="69" t="str">
        <x:v>Non-P2BK output accepted.</x:v>
      </x:c>
      <x:c r="H28" s="69" t="str">
        <x:v>Adversarial protocol review</x:v>
      </x:c>
      <x:c r="I28" s="69" t="str">
        <x:v>Output opening/P2BK tests</x:v>
      </x:c>
      <x:c r="J28" s="69" t="str">
        <x:v>67d1812</x:v>
      </x:c>
      <x:c r="K28" s="69" t="str">
        <x:v>Verified</x:v>
      </x:c>
    </x:row>
    <x:row r="29" ht="15" hidden="0" customHeight="1">
      <x:c r="A29" s="69" t="str">
        <x:v>D-024</x:v>
      </x:c>
      <x:c r="B29" s="69" t="str">
        <x:v>High</x:v>
      </x:c>
      <x:c r="C29" s="69" t="str">
        <x:v>Idempotency</x:v>
      </x:c>
      <x:c r="D29" s="69" t="str">
        <x:v>An idempotency key could be replayed with a changed request body.</x:v>
      </x:c>
      <x:c r="E29" s="69" t="str">
        <x:v>Reuse key with changed opening.</x:v>
      </x:c>
      <x:c r="F29" s="69" t="str">
        <x:v>Reject body mismatch.</x:v>
      </x:c>
      <x:c r="G29" s="69" t="str">
        <x:v>Cached response could be returned for another body.</x:v>
      </x:c>
      <x:c r="H29" s="69" t="str">
        <x:v>Adversarial security review</x:v>
      </x:c>
      <x:c r="I29" s="69" t="str">
        <x:v>Changed-body idempotency tests</x:v>
      </x:c>
      <x:c r="J29" s="69" t="str">
        <x:v>67d1812 / a17cd22</x:v>
      </x:c>
      <x:c r="K29" s="69" t="str">
        <x:v>Verified</x:v>
      </x:c>
    </x:row>
    <x:row r="30" ht="15" hidden="0" customHeight="1">
      <x:c r="A30" s="69" t="str">
        <x:v>D-025</x:v>
      </x:c>
      <x:c r="B30" s="69" t="str">
        <x:v>High</x:v>
      </x:c>
      <x:c r="C30" s="69" t="str">
        <x:v>Wallet concurrency</x:v>
      </x:c>
      <x:c r="D30" s="69" t="str">
        <x:v>Two tabs could race local bearer-token updates.</x:v>
      </x:c>
      <x:c r="E30" s="69" t="str">
        <x:v>Buy or transfer concurrently.</x:v>
      </x:c>
      <x:c r="F30" s="69" t="str">
        <x:v>Serialize wallet mutations.</x:v>
      </x:c>
      <x:c r="G30" s="69" t="str">
        <x:v>Last localStorage write could drop proofs.</x:v>
      </x:c>
      <x:c r="H30" s="69" t="str">
        <x:v>Adversarial security review</x:v>
      </x:c>
      <x:c r="I30" s="69" t="str">
        <x:v>navigator.locks path + wallet regressions</x:v>
      </x:c>
      <x:c r="J30" s="69" t="str">
        <x:v>b706922</x:v>
      </x:c>
      <x:c r="K30" s="69" t="str">
        <x:v>Verified</x:v>
      </x:c>
    </x:row>
    <x:row r="31" ht="15" hidden="0" customHeight="1">
      <x:c r="A31" s="69" t="str">
        <x:v>D-026</x:v>
      </x:c>
      <x:c r="B31" s="69" t="str">
        <x:v>High</x:v>
      </x:c>
      <x:c r="C31" s="69" t="str">
        <x:v>Blossom verification</x:v>
      </x:c>
      <x:c r="D31" s="69" t="str">
        <x:v>Display URL could change between verification and image rendering.</x:v>
      </x:c>
      <x:c r="E31" s="69" t="str">
        <x:v>Serve different bytes on repeated URL request.</x:v>
      </x:c>
      <x:c r="F31" s="69" t="str">
        <x:v>Render the exact verified bytes and try mirrors safely.</x:v>
      </x:c>
      <x:c r="G31" s="69" t="str">
        <x:v>Browser could refetch mutable URL.</x:v>
      </x:c>
      <x:c r="H31" s="69" t="str">
        <x:v>Adversarial security review</x:v>
      </x:c>
      <x:c r="I31" s="69" t="str">
        <x:v>RUN-009 displayed-byte hash flow</x:v>
      </x:c>
      <x:c r="J31" s="69" t="str">
        <x:v>b706922</x:v>
      </x:c>
      <x:c r="K31" s="69" t="str">
        <x:v>Verified</x:v>
      </x:c>
    </x:row>
    <x:row r="32" ht="21.600000381469727" hidden="0" customHeight="1">
      <x:c r="A32" s="69" t="str">
        <x:v>D-027</x:v>
      </x:c>
      <x:c r="B32" s="69" t="str">
        <x:v>Medium</x:v>
      </x:c>
      <x:c r="C32" s="69" t="str">
        <x:v>HTTP validation</x:v>
      </x:c>
      <x:c r="D32" s="69" t="str">
        <x:v>Unbounded/malformed checkstate and JSON requests could consume memory or throw inconsistently.</x:v>
      </x:c>
      <x:c r="E32" s="69" t="str">
        <x:v>Send oversized body/invalid points.</x:v>
      </x:c>
      <x:c r="F32" s="69" t="str">
        <x:v>Bound and reject before crypto work.</x:v>
      </x:c>
      <x:c r="G32" s="69" t="str">
        <x:v>Weak boundary validation.</x:v>
      </x:c>
      <x:c r="H32" s="69" t="str">
        <x:v>Adversarial security review</x:v>
      </x:c>
      <x:c r="I32" s="69" t="str">
        <x:v>Malformed input tests</x:v>
      </x:c>
      <x:c r="J32" s="69" t="str">
        <x:v>a17cd22</x:v>
      </x:c>
      <x:c r="K32" s="69" t="str">
        <x:v>Verified</x:v>
      </x:c>
    </x:row>
    <x:row r="33" ht="15" hidden="0" customHeight="1">
      <x:c r="A33" s="69" t="str">
        <x:v>D-028</x:v>
      </x:c>
      <x:c r="B33" s="69" t="str">
        <x:v>Medium</x:v>
      </x:c>
      <x:c r="C33" s="69" t="str">
        <x:v>Wallet state</x:v>
      </x:c>
      <x:c r="D33" s="69" t="str">
        <x:v>Spent proofs remained presented as owned cards.</x:v>
      </x:c>
      <x:c r="E33" s="69" t="str">
        <x:v>Spend then reload sender wallet.</x:v>
      </x:c>
      <x:c r="F33" s="69" t="str">
        <x:v>Separate SPENT from UNSPENT and exclude from ownership.</x:v>
      </x:c>
      <x:c r="G33" s="69" t="str">
        <x:v>Spent card still appeared usable.</x:v>
      </x:c>
      <x:c r="H33" s="69" t="str">
        <x:v>Product review</x:v>
      </x:c>
      <x:c r="I33" s="69" t="str">
        <x:v>RUN-005 + RUN-009</x:v>
      </x:c>
      <x:c r="J33" s="69" t="str">
        <x:v>b706922</x:v>
      </x:c>
      <x:c r="K33" s="69" t="str">
        <x:v>Verified</x:v>
      </x:c>
    </x:row>
    <x:row r="34" ht="15" hidden="0" customHeight="1">
      <x:c r="A34" s="69" t="str">
        <x:v>D-029</x:v>
      </x:c>
      <x:c r="B34" s="69" t="str">
        <x:v>Medium</x:v>
      </x:c>
      <x:c r="C34" s="69" t="str">
        <x:v>Card navigation</x:v>
      </x:c>
      <x:c r="D34" s="69" t="str">
        <x:v>Shop card links used hashes while gallery deep links use ?card=.</x:v>
      </x:c>
      <x:c r="E34" s="69" t="str">
        <x:v>Open pulled card details.</x:v>
      </x:c>
      <x:c r="F34" s="69" t="str">
        <x:v>Correct card dialog opens.</x:v>
      </x:c>
      <x:c r="G34" s="69" t="str">
        <x:v>Link did not select card.</x:v>
      </x:c>
      <x:c r="H34" s="69" t="str">
        <x:v>Product review</x:v>
      </x:c>
      <x:c r="I34" s="69" t="str">
        <x:v>RUN-010 deep-link test</x:v>
      </x:c>
      <x:c r="J34" s="69" t="str">
        <x:v>9ae88f1</x:v>
      </x:c>
      <x:c r="K34" s="69" t="str">
        <x:v>Verified</x:v>
      </x:c>
    </x:row>
    <x:row r="35" ht="15" hidden="0" customHeight="1">
      <x:c r="A35" s="69" t="str">
        <x:v>D-030</x:v>
      </x:c>
      <x:c r="B35" s="69" t="str">
        <x:v>Medium</x:v>
      </x:c>
      <x:c r="C35" s="69" t="str">
        <x:v>Stack legality</x:v>
      </x:c>
      <x:c r="D35" s="69" t="str">
        <x:v>Builder UI could save four copies despite engine three-copy rule.</x:v>
      </x:c>
      <x:c r="E35" s="69" t="str">
        <x:v>Add fourth non-Basic copy.</x:v>
      </x:c>
      <x:c r="F35" s="69" t="str">
        <x:v>Refuse save and explain limit.</x:v>
      </x:c>
      <x:c r="G35" s="69" t="str">
        <x:v>UI and engine disagreed.</x:v>
      </x:c>
      <x:c r="H35" s="69" t="str">
        <x:v>Product review</x:v>
      </x:c>
      <x:c r="I35" s="69" t="str">
        <x:v>Browser rejection + engine tests</x:v>
      </x:c>
      <x:c r="J35" s="69" t="str">
        <x:v>10a1922</x:v>
      </x:c>
      <x:c r="K35" s="69" t="str">
        <x:v>Verified</x:v>
      </x:c>
    </x:row>
    <x:row r="36" ht="15" hidden="0" customHeight="1">
      <x:c r="A36" s="69" t="str">
        <x:v>D-031</x:v>
      </x:c>
      <x:c r="B36" s="69" t="str">
        <x:v>Medium</x:v>
      </x:c>
      <x:c r="C36" s="69" t="str">
        <x:v>Table discovery</x:v>
      </x:c>
      <x:c r="D36" s="69" t="str">
        <x:v>A listed table whose host left still offered Join.</x:v>
      </x:c>
      <x:c r="E36" s="69" t="str">
        <x:v>List open table after host departure.</x:v>
      </x:c>
      <x:c r="F36" s="69" t="str">
        <x:v>Join disabled until host is present.</x:v>
      </x:c>
      <x:c r="G36" s="69" t="str">
        <x:v>Dead join path.</x:v>
      </x:c>
      <x:c r="H36" s="69" t="str">
        <x:v>Product review</x:v>
      </x:c>
      <x:c r="I36" s="69" t="str">
        <x:v>Client regression test</x:v>
      </x:c>
      <x:c r="J36" s="69" t="str">
        <x:v>9ae88f1</x:v>
      </x:c>
      <x:c r="K36" s="69" t="str">
        <x:v>Verified</x:v>
      </x:c>
    </x:row>
    <x:row r="37" ht="15" hidden="0" customHeight="1">
      <x:c r="A37" s="69" t="str">
        <x:v>D-032</x:v>
      </x:c>
      <x:c r="B37" s="69" t="str">
        <x:v>Low</x:v>
      </x:c>
      <x:c r="C37" s="69" t="str">
        <x:v>Invitations</x:v>
      </x:c>
      <x:c r="D37" s="69" t="str">
        <x:v>Relay invitation search could remain in a loading state forever.</x:v>
      </x:c>
      <x:c r="E37" s="69" t="str">
        <x:v>Return no relay events.</x:v>
      </x:c>
      <x:c r="F37" s="69" t="str">
        <x:v>Terminal empty state and retry.</x:v>
      </x:c>
      <x:c r="G37" s="69" t="str">
        <x:v>Indefinite listening message.</x:v>
      </x:c>
      <x:c r="H37" s="69" t="str">
        <x:v>Product review</x:v>
      </x:c>
      <x:c r="I37" s="69" t="str">
        <x:v>Client regression/source review</x:v>
      </x:c>
      <x:c r="J37" s="69" t="str">
        <x:v>9ae88f1</x:v>
      </x:c>
      <x:c r="K37" s="69" t="str">
        <x:v>Verified</x:v>
      </x:c>
    </x:row>
    <x:row r="38" ht="15" hidden="0" customHeight="1">
      <x:c r="A38" s="69" t="str">
        <x:v>D-033</x:v>
      </x:c>
      <x:c r="B38" s="69" t="str">
        <x:v>Medium</x:v>
      </x:c>
      <x:c r="C38" s="69" t="str">
        <x:v>Nostr publishing</x:v>
      </x:c>
      <x:c r="D38" s="69" t="str">
        <x:v>A failed relay publication was marked as already announced.</x:v>
      </x:c>
      <x:c r="E38" s="69" t="str">
        <x:v>Make relay publish fail then retry.</x:v>
      </x:c>
      <x:c r="F38" s="69" t="str">
        <x:v>Retry remains available.</x:v>
      </x:c>
      <x:c r="G38" s="69" t="str">
        <x:v>Failure suppressed future attempts.</x:v>
      </x:c>
      <x:c r="H38" s="69" t="str">
        <x:v>Product review</x:v>
      </x:c>
      <x:c r="I38" s="69" t="str">
        <x:v>Client regression test</x:v>
      </x:c>
      <x:c r="J38" s="69" t="str">
        <x:v>9ae88f1</x:v>
      </x:c>
      <x:c r="K38" s="69" t="str">
        <x:v>Verified</x:v>
      </x:c>
    </x:row>
    <x:row r="39" ht="15" hidden="0" customHeight="1">
      <x:c r="A39" s="69" t="str">
        <x:v>D-034</x:v>
      </x:c>
      <x:c r="B39" s="69" t="str">
        <x:v>Low</x:v>
      </x:c>
      <x:c r="C39" s="69" t="str">
        <x:v>Leaderboard storage</x:v>
      </x:c>
      <x:c r="D39" s="69" t="str">
        <x:v>Plain website had no local persistence fallback.</x:v>
      </x:c>
      <x:c r="E39" s="69" t="str">
        <x:v>Use without host shell.</x:v>
      </x:c>
      <x:c r="F39" s="69" t="str">
        <x:v>localStorage keeps scratch records.</x:v>
      </x:c>
      <x:c r="G39" s="69" t="str">
        <x:v>Records vanished on reload.</x:v>
      </x:c>
      <x:c r="H39" s="69" t="str">
        <x:v>Product review</x:v>
      </x:c>
      <x:c r="I39" s="69" t="str">
        <x:v>Storage unit tests</x:v>
      </x:c>
      <x:c r="J39" s="69" t="str">
        <x:v>9ae88f1</x:v>
      </x:c>
      <x:c r="K39" s="69" t="str">
        <x:v>Verified</x:v>
      </x:c>
    </x:row>
    <x:row r="40" ht="15" hidden="0" customHeight="1">
      <x:c r="A40" s="69" t="str">
        <x:v>D-035</x:v>
      </x:c>
      <x:c r="B40" s="69" t="str">
        <x:v>Low</x:v>
      </x:c>
      <x:c r="C40" s="69" t="str">
        <x:v>Rules consistency</x:v>
      </x:c>
      <x:c r="D40" s="69" t="str">
        <x:v>Builder and rulebook disagreed on the three-copy Basic Resource exception.</x:v>
      </x:c>
      <x:c r="E40" s="69" t="str">
        <x:v>Compare rulebook to engine validation.</x:v>
      </x:c>
      <x:c r="F40" s="69" t="str">
        <x:v>One consistent rule.</x:v>
      </x:c>
      <x:c r="G40" s="69" t="str">
        <x:v>Contradictory copy.</x:v>
      </x:c>
      <x:c r="H40" s="69" t="str">
        <x:v>Product review</x:v>
      </x:c>
      <x:c r="I40" s="69" t="str">
        <x:v>RUN-006 + RUN-010</x:v>
      </x:c>
      <x:c r="J40" s="69" t="str">
        <x:v>9ae88f1</x:v>
      </x:c>
      <x:c r="K40" s="69" t="str">
        <x:v>Verified</x:v>
      </x:c>
    </x:row>
    <x:row r="41" ht="15" hidden="0" customHeight="1">
      <x:c r="A41" s="69" t="str">
        <x:v>D-036</x:v>
      </x:c>
      <x:c r="B41" s="69" t="str">
        <x:v>High</x:v>
      </x:c>
      <x:c r="C41" s="69" t="str">
        <x:v>Wallet recovery</x:v>
      </x:c>
      <x:c r="D41" s="69" t="str">
        <x:v>Browser storage loss had no explicit bearer-asset backup/restore path.</x:v>
      </x:c>
      <x:c r="E41" s="69" t="str">
        <x:v>Reset browser profile.</x:v>
      </x:c>
      <x:c r="F41" s="69" t="str">
        <x:v>Download secret backup and restore only into empty wallet.</x:v>
      </x:c>
      <x:c r="G41" s="69" t="str">
        <x:v>Tokens/private key were unrecoverable.</x:v>
      </x:c>
      <x:c r="H41" s="69" t="str">
        <x:v>Product review</x:v>
      </x:c>
      <x:c r="I41" s="69" t="str">
        <x:v>RUN-005 + RUN-009</x:v>
      </x:c>
      <x:c r="J41" s="69" t="str">
        <x:v>04faa94</x:v>
      </x:c>
      <x:c r="K41" s="69" t="str">
        <x:v>Verified</x:v>
      </x:c>
    </x:row>
    <x:row r="42" ht="15" hidden="0" customHeight="1">
      <x:c r="A42" s="69" t="str">
        <x:v>D-037</x:v>
      </x:c>
      <x:c r="B42" s="69" t="str">
        <x:v>Low</x:v>
      </x:c>
      <x:c r="C42" s="69" t="str">
        <x:v>Cross-applet UX</x:v>
      </x:c>
      <x:c r="D42" s="69" t="str">
        <x:v>Send to Stack Builder saved data but left the user in the shop.</x:v>
      </x:c>
      <x:c r="E42" s="69" t="str">
        <x:v>Open free pack and click Send.</x:v>
      </x:c>
      <x:c r="F42" s="69" t="str">
        <x:v>Navigate to builder and load saved collection.</x:v>
      </x:c>
      <x:c r="G42" s="69" t="str">
        <x:v>User had to discover the next page manually.</x:v>
      </x:c>
      <x:c r="H42" s="69" t="str">
        <x:v>RUN-010</x:v>
      </x:c>
      <x:c r="I42" s="69" t="str">
        <x:v>Browser handoff regression</x:v>
      </x:c>
      <x:c r="J42" s="69" t="str">
        <x:v>b1fd2bf</x:v>
      </x:c>
      <x:c r="K42" s="69" t="str">
        <x:v>Verified</x:v>
      </x:c>
    </x:row>
    <x:row r="43" ht="15" hidden="0" customHeight="1">
      <x:c r="A43" s="69" t="str">
        <x:v>D-038</x:v>
      </x:c>
      <x:c r="B43" s="69" t="str">
        <x:v>Medium</x:v>
      </x:c>
      <x:c r="C43" s="69" t="str">
        <x:v>Card metadata</x:v>
      </x:c>
      <x:c r="D43" s="69" t="str">
        <x:v>Catalog omitted gameplay/display fields from the supplied Blossom manifest.</x:v>
      </x:c>
      <x:c r="E43" s="69" t="str">
        <x:v>Inspect signed catalog entry.</x:v>
      </x:c>
      <x:c r="F43" s="69" t="str">
        <x:v>Expose inert full metadata and face hashes.</x:v>
      </x:c>
      <x:c r="G43" s="69" t="str">
        <x:v>Wallet/catalog had a reduced card subset.</x:v>
      </x:c>
      <x:c r="H43" s="69" t="str">
        <x:v>Manifest comparison</x:v>
      </x:c>
      <x:c r="I43" s="69" t="str">
        <x:v>Catalog metadata test</x:v>
      </x:c>
      <x:c r="J43" s="69" t="str">
        <x:v>93210b6</x:v>
      </x:c>
      <x:c r="K43" s="69" t="str">
        <x:v>Verified</x:v>
      </x:c>
    </x:row>
    <x:row r="44" ht="15" hidden="0" customHeight="1">
      <x:c r="A44" s="69" t="str">
        <x:v>D-039</x:v>
      </x:c>
      <x:c r="B44" s="69" t="str">
        <x:v>Low</x:v>
      </x:c>
      <x:c r="C44" s="69" t="str">
        <x:v>Wallet feedback</x:v>
      </x:c>
      <x:c r="D44" s="69" t="str">
        <x:v>Sender proof count stayed stale after a successful transfer.</x:v>
      </x:c>
      <x:c r="E44" s="69" t="str">
        <x:v>Transfer card without reload.</x:v>
      </x:c>
      <x:c r="F44" s="69" t="str">
        <x:v>Count immediately changes 7→6 while token remains copyable.</x:v>
      </x:c>
      <x:c r="G44" s="69" t="str">
        <x:v>Tile disappeared but chip still said seven.</x:v>
      </x:c>
      <x:c r="H44" s="69" t="str">
        <x:v>RUN-009</x:v>
      </x:c>
      <x:c r="I44" s="69" t="str">
        <x:v>Two-wallet browser assertion</x:v>
      </x:c>
      <x:c r="J44" s="69" t="str">
        <x:v>5266c8d</x:v>
      </x:c>
      <x:c r="K44" s="69" t="str">
        <x:v>Verified</x:v>
      </x:c>
    </x:row>
    <x:row r="45" ht="21.600000381469727" hidden="0" customHeight="1">
      <x:c r="A45" s="69" t="str">
        <x:v>D-040</x:v>
      </x:c>
      <x:c r="B45" s="69" t="str">
        <x:v>Critical</x:v>
      </x:c>
      <x:c r="C45" s="69" t="str">
        <x:v>Mint configuration</x:v>
      </x:c>
      <x:c r="D45" s="69" t="str">
        <x:v>A persisted mint could restart under a different census, collection, or catalog URI and split CardBinding compatibility.</x:v>
      </x:c>
      <x:c r="E45" s="69" t="str">
        <x:v>Create database, restart with changed catalog URI.</x:v>
      </x:c>
      <x:c r="F45" s="69" t="str">
        <x:v>Refuse boot and close the database handle.</x:v>
      </x:c>
      <x:c r="G45" s="69" t="str">
        <x:v>Persisted keys/state were reused with a new binding namespace.</x:v>
      </x:c>
      <x:c r="H45" s="69" t="str">
        <x:v>Remote branch regression review</x:v>
      </x:c>
      <x:c r="I45" s="69" t="str">
        <x:v>Focused restart/config test</x:v>
      </x:c>
      <x:c r="J45" s="69" t="str">
        <x:v>bb1731c</x:v>
      </x:c>
      <x:c r="K45" s="69" t="str">
        <x:v>Verified</x:v>
      </x:c>
    </x:row>
  </x:sheetData>
  <x:mergeCells>
    <x:mergeCell ref="A1:K1"/>
    <x:mergeCell ref="A2:K2"/>
  </x:mergeCells>
  <x:conditionalFormatting sqref="K6:K45">
    <x:cfRule type="containsText" dxfId="8" priority="1" operator="containsText" text="Pass"/>
    <x:cfRule type="containsText" dxfId="9" priority="2" operator="containsText" text="Fail"/>
    <x:cfRule type="containsText" dxfId="10" priority="3" operator="containsText" text="Blocked"/>
    <x:cfRule type="containsText" dxfId="11" priority="4" operator="containsText" text="Not Run"/>
  </x:conditionalFormatting>
  <x:conditionalFormatting sqref="B6:B45">
    <x:cfRule type="containsText" dxfId="12" priority="5" operator="containsText" text="Critical"/>
    <x:cfRule type="containsText" dxfId="13" priority="6" operator="containsText" text="High"/>
  </x:conditionalFormatting>
  <x:dataValidations count="2">
    <x:dataValidation type="list" sqref="B6:B45">
      <x:formula1>"Critical,High,Medium,Low"</x:formula1>
    </x:dataValidation>
    <x:dataValidation type="list" sqref="K6:K45">
      <x:formula1>"Open,In Progress,Fixed,Verified,Triaged,Won't Fix"</x:formula1>
    </x:dataValidation>
  </x:dataValidations>
  <x:pageMargins left="0.7" right="0.7" top="0.75" bottom="0.75" header="0.3" footer="0.3"/>
  <x:tableParts count="1">
    <x:tablePart xmlns:r="http://schemas.openxmlformats.org/officeDocument/2006/relationships" r:id="R6b5e8c075fa94097"/>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4" hidden="0" customWidth="1"/>
    <x:col min="2" max="2" width="20" hidden="0" customWidth="1"/>
    <x:col min="3" max="3" width="30" hidden="0" customWidth="1"/>
    <x:col min="4" max="4" width="58" hidden="0" customWidth="1"/>
    <x:col min="5" max="5" width="14" hidden="0" customWidth="1"/>
    <x:col min="6" max="6" width="10" hidden="0" customWidth="1"/>
    <x:col min="7" max="7" width="10" hidden="0" customWidth="1"/>
    <x:col min="8" max="8" width="10" hidden="0" customWidth="1"/>
    <x:col min="9" max="9" width="55" hidden="0" customWidth="1"/>
    <x:col min="10" max="10" width="52" hidden="0" customWidth="1"/>
  </x:cols>
  <x:sheetData>
    <x:row r="1" ht="15" hidden="0" customHeight="1">
      <x:c r="A1" s="65" t="str">
        <x:v>Test runs</x:v>
      </x:c>
      <x:c r="B1" s="66"/>
      <x:c r="C1" s="66"/>
      <x:c r="D1" s="66"/>
      <x:c r="E1" s="66"/>
      <x:c r="F1" s="66"/>
      <x:c r="G1" s="66"/>
      <x:c r="H1" s="66"/>
      <x:c r="I1" s="66"/>
      <x:c r="J1" s="66"/>
      <x:c r="K1" s="67"/>
      <x:c r="L1" s="67"/>
      <x:c r="M1" s="67"/>
      <x:c r="N1" s="67"/>
      <x:c r="O1" s="67"/>
      <x:c r="P1" s="67"/>
      <x:c r="Q1" s="67"/>
      <x:c r="R1" s="67"/>
      <x:c r="S1" s="67"/>
      <x:c r="T1" s="67"/>
      <x:c r="U1" s="67"/>
      <x:c r="V1" s="67"/>
      <x:c r="W1" s="67"/>
      <x:c r="X1" s="67"/>
      <x:c r="Y1" s="67"/>
      <x:c r="Z1" s="67"/>
    </x:row>
    <x:row r="2" ht="15" hidden="0" customHeight="1">
      <x:c r="A2" s="68" t="str">
        <x:v>Immutable evidence log. A story status should cite one of these runs or a narrower reproducible check.</x:v>
      </x:c>
      <x:c r="B2" s="66"/>
      <x:c r="C2" s="66"/>
      <x:c r="D2" s="66"/>
      <x:c r="E2" s="66"/>
      <x:c r="F2" s="66"/>
      <x:c r="G2" s="66"/>
      <x:c r="H2" s="66"/>
      <x:c r="I2" s="66"/>
      <x:c r="J2" s="66"/>
      <x:c r="K2" s="67"/>
      <x:c r="L2" s="67"/>
      <x:c r="M2" s="67"/>
      <x:c r="N2" s="67"/>
      <x:c r="O2" s="67"/>
      <x:c r="P2" s="67"/>
      <x:c r="Q2" s="67"/>
      <x:c r="R2" s="67"/>
      <x:c r="S2" s="67"/>
      <x:c r="T2" s="67"/>
      <x:c r="U2" s="67"/>
      <x:c r="V2" s="67"/>
      <x:c r="W2" s="67"/>
      <x:c r="X2" s="67"/>
      <x:c r="Y2" s="67"/>
      <x:c r="Z2" s="67"/>
    </x:row>
    <x:row r="3" ht="15" hidden="0" customHeight="1">
      <x:c r="A3" s="58"/>
      <x:c r="B3" s="58"/>
      <x:c r="C3" s="58"/>
      <x:c r="D3" s="58"/>
      <x:c r="E3" s="58"/>
      <x:c r="F3" s="58"/>
      <x:c r="G3" s="58"/>
      <x:c r="H3" s="58"/>
      <x:c r="I3" s="58"/>
      <x:c r="J3" s="58"/>
    </x:row>
    <x:row r="4" ht="15" hidden="0" customHeight="1">
      <x:c r="A4" s="58"/>
      <x:c r="B4" s="58"/>
      <x:c r="C4" s="58"/>
      <x:c r="D4" s="58"/>
      <x:c r="E4" s="58"/>
      <x:c r="F4" s="58"/>
      <x:c r="G4" s="58"/>
      <x:c r="H4" s="58"/>
      <x:c r="I4" s="58"/>
      <x:c r="J4" s="58"/>
    </x:row>
    <x:row r="5" ht="15" hidden="0" customHeight="1">
      <x:c r="A5" s="60" t="str">
        <x:v>Run ID</x:v>
      </x:c>
      <x:c r="B5" s="61" t="str">
        <x:v>Timestamp</x:v>
      </x:c>
      <x:c r="C5" s="61" t="str">
        <x:v>Scope</x:v>
      </x:c>
      <x:c r="D5" s="61" t="str">
        <x:v>Command / steps</x:v>
      </x:c>
      <x:c r="E5" s="61" t="str">
        <x:v>Result</x:v>
      </x:c>
      <x:c r="F5" s="61" t="str">
        <x:v>Pass</x:v>
      </x:c>
      <x:c r="G5" s="61" t="str">
        <x:v>Fail</x:v>
      </x:c>
      <x:c r="H5" s="61" t="str">
        <x:v>Blocked</x:v>
      </x:c>
      <x:c r="I5" s="61" t="str">
        <x:v>Evidence</x:v>
      </x:c>
      <x:c r="J5" s="62" t="str">
        <x:v>Notes</x:v>
      </x:c>
    </x:row>
    <x:row r="6" ht="15" hidden="0" customHeight="1">
      <x:c r="A6" s="69" t="str">
        <x:v>RUN-001</x:v>
      </x:c>
      <x:c r="B6" s="70" t="n">
        <x:v>46254.02847222222</x:v>
      </x:c>
      <x:c r="C6" s="69" t="str">
        <x:v>JavaScript suite</x:v>
      </x:c>
      <x:c r="D6" s="69" t="str">
        <x:v>npm run test:js</x:v>
      </x:c>
      <x:c r="E6" s="69" t="str">
        <x:v>Pass</x:v>
      </x:c>
      <x:c r="F6" s="71" t="n">
        <x:v>311</x:v>
      </x:c>
      <x:c r="G6" s="71" t="n">
        <x:v>0</x:v>
      </x:c>
      <x:c r="H6" s="71" t="n">
        <x:v>0</x:v>
      </x:c>
      <x:c r="I6" s="69" t="str">
        <x:v>311 tests passed in 19.7s</x:v>
      </x:c>
      <x:c r="J6" s="69" t="str">
        <x:v>Does not execute wallet page reload</x:v>
      </x:c>
    </x:row>
    <x:row r="7" ht="15" hidden="0" customHeight="1">
      <x:c r="A7" s="69" t="str">
        <x:v>RUN-002</x:v>
      </x:c>
      <x:c r="B7" s="70" t="n">
        <x:v>46254.02847222222</x:v>
      </x:c>
      <x:c r="C7" s="69" t="str">
        <x:v>Python repository suite</x:v>
      </x:c>
      <x:c r="D7" s="69" t="str">
        <x:v>uv run --frozen pytest -q</x:v>
      </x:c>
      <x:c r="E7" s="69" t="str">
        <x:v>Fail</x:v>
      </x:c>
      <x:c r="F7" s="71" t="n">
        <x:v>101</x:v>
      </x:c>
      <x:c r="G7" s="71" t="n">
        <x:v>7</x:v>
      </x:c>
      <x:c r="H7" s="71" t="n">
        <x:v>0</x:v>
      </x:c>
      <x:c r="I7" s="69" t="str">
        <x:v>7 failed, 101 passed</x:v>
      </x:c>
      <x:c r="J7" s="69" t="str">
        <x:v>D-012 is PR regression; D-018 groups six pre-existing fixture/font failures</x:v>
      </x:c>
    </x:row>
    <x:row r="8" ht="15" hidden="0" customHeight="1">
      <x:c r="A8" s="69" t="str">
        <x:v>RUN-003</x:v>
      </x:c>
      <x:c r="B8" s="70" t="n">
        <x:v>46254.02847222222</x:v>
      </x:c>
      <x:c r="C8" s="69" t="str">
        <x:v>14-page browser route baseline</x:v>
      </x:c>
      <x:c r="D8" s="69" t="str">
        <x:v>Headless Chromium; open every site/*.html surface</x:v>
      </x:c>
      <x:c r="E8" s="69" t="str">
        <x:v>Pass</x:v>
      </x:c>
      <x:c r="F8" s="71" t="n">
        <x:v>14</x:v>
      </x:c>
      <x:c r="G8" s="71" t="n">
        <x:v>0</x:v>
      </x:c>
      <x:c r="H8" s="71" t="n">
        <x:v>0</x:v>
      </x:c>
      <x:c r="I8" s="69" t="str">
        <x:v>All routes HTTP 200 with headings/titles</x:v>
      </x:c>
      <x:c r="J8" s="69" t="str">
        <x:v>play.html logged unidentified 404 (D-017)</x:v>
      </x:c>
    </x:row>
    <x:row r="9" ht="15" hidden="0" customHeight="1">
      <x:c r="A9" s="69" t="str">
        <x:v>RUN-004</x:v>
      </x:c>
      <x:c r="B9" s="70" t="n">
        <x:v>46254.02847222222</x:v>
      </x:c>
      <x:c r="C9" s="69" t="str">
        <x:v>NutFT purchase→wallet reload</x:v>
      </x:c>
      <x:c r="D9" s="69" t="str">
        <x:v>Buy /shop.html?shop=mint booster; inspect localStorage; open /wallet.html</x:v>
      </x:c>
      <x:c r="E9" s="69" t="str">
        <x:v>Fail</x:v>
      </x:c>
      <x:c r="F9" s="71" t="n">
        <x:v>1</x:v>
      </x:c>
      <x:c r="G9" s="71" t="n">
        <x:v>1</x:v>
      </x:c>
      <x:c r="H9" s="71" t="n">
        <x:v>0</x:v>
      </x:c>
      <x:c r="I9" s="69" t="str">
        <x:v>Purchase stored 4,945-byte Cashu token; wallet showed keyset error</x:v>
      </x:c>
      <x:c r="J9" s="69" t="str">
        <x:v>D-001</x:v>
      </x:c>
    </x:row>
    <x:row r="10" ht="32.400001525878906" hidden="0" customHeight="1">
      <x:c r="A10" s="69" t="str">
        <x:v>RUN-005</x:v>
      </x:c>
      <x:c r="B10" s="70" t="n">
        <x:v>46254.02847222222</x:v>
      </x:c>
      <x:c r="C10" s="69" t="str">
        <x:v>Focused NutFT protocol and wallet suite</x:v>
      </x:c>
      <x:c r="D10" s="69" t="str">
        <x:v>node --test tests/js/nutft.test.mjs</x:v>
      </x:c>
      <x:c r="E10" s="69" t="str">
        <x:v>Pass</x:v>
      </x:c>
      <x:c r="F10" s="71" t="n">
        <x:v>5</x:v>
      </x:c>
      <x:c r="G10" s="71" t="n">
        <x:v>0</x:v>
      </x:c>
      <x:c r="H10" s="71" t="n">
        <x:v>0</x:v>
      </x:c>
      <x:c r="I10" s="69" t="str">
        <x:v>Output openings, URI/config validation, two-wallet transfer/import, backup/restore, lost-response recovery, restart persistence, DLEQ, P2BK, binding, checkstate, swap/melt rejection</x:v>
      </x:c>
      <x:c r="J10" s="69" t="str">
        <x:v>Final branch</x:v>
      </x:c>
    </x:row>
    <x:row r="11" ht="15" hidden="0" customHeight="1">
      <x:c r="A11" s="69" t="str">
        <x:v>RUN-006</x:v>
      </x:c>
      <x:c r="B11" s="70" t="n">
        <x:v>46254.02847222222</x:v>
      </x:c>
      <x:c r="C11" s="69" t="str">
        <x:v>Complete JavaScript suite</x:v>
      </x:c>
      <x:c r="D11" s="69" t="str">
        <x:v>npm run test:js</x:v>
      </x:c>
      <x:c r="E11" s="69" t="str">
        <x:v>Pass</x:v>
      </x:c>
      <x:c r="F11" s="71" t="n">
        <x:v>316</x:v>
      </x:c>
      <x:c r="G11" s="71" t="n">
        <x:v>0</x:v>
      </x:c>
      <x:c r="H11" s="71" t="n">
        <x:v>0</x:v>
      </x:c>
      <x:c r="I11" s="69" t="str">
        <x:v>316 tests passed</x:v>
      </x:c>
      <x:c r="J11" s="69" t="str">
        <x:v>Engine, client, transport, online play, ladder, Cashu/NutFT, card waves, QR, and crypto</x:v>
      </x:c>
    </x:row>
    <x:row r="12" ht="15" hidden="0" customHeight="1">
      <x:c r="A12" s="69" t="str">
        <x:v>RUN-007</x:v>
      </x:c>
      <x:c r="B12" s="70" t="n">
        <x:v>46254.02847222222</x:v>
      </x:c>
      <x:c r="C12" s="69" t="str">
        <x:v>Complete Python repository suite</x:v>
      </x:c>
      <x:c r="D12" s="69" t="str">
        <x:v>uv run --frozen pytest -q</x:v>
      </x:c>
      <x:c r="E12" s="69" t="str">
        <x:v>Fail</x:v>
      </x:c>
      <x:c r="F12" s="71" t="n">
        <x:v>102</x:v>
      </x:c>
      <x:c r="G12" s="71" t="n">
        <x:v>6</x:v>
      </x:c>
      <x:c r="H12" s="71" t="n">
        <x:v>0</x:v>
      </x:c>
      <x:c r="I12" s="69" t="str">
        <x:v>102 passed; six failures require absent historical art manifests or host-specific Arial metrics</x:v>
      </x:c>
      <x:c r="J12" s="69" t="str">
        <x:v>D-018 only; no NutFT/runtime failure</x:v>
      </x:c>
    </x:row>
    <x:row r="13" ht="21.600000381469727" hidden="0" customHeight="1">
      <x:c r="A13" s="69" t="str">
        <x:v>RUN-008</x:v>
      </x:c>
      <x:c r="B13" s="70" t="n">
        <x:v>46254.02847222222</x:v>
      </x:c>
      <x:c r="C13" s="69" t="str">
        <x:v>Final browser route matrix</x:v>
      </x:c>
      <x:c r="D13" s="69" t="str">
        <x:v>Headless Chromium; 14 primary routes on fresh table server</x:v>
      </x:c>
      <x:c r="E13" s="69" t="str">
        <x:v>Pass</x:v>
      </x:c>
      <x:c r="F13" s="71" t="n">
        <x:v>14</x:v>
      </x:c>
      <x:c r="G13" s="71" t="n">
        <x:v>0</x:v>
      </x:c>
      <x:c r="H13" s="71" t="n">
        <x:v>0</x:v>
      </x:c>
      <x:c r="I13" s="69" t="str">
        <x:v>Every route returned HTTP 200; no same-origin console/page/network error; favicon 404 removed</x:v>
      </x:c>
      <x:c r="J13" s="69" t="str">
        <x:v>External relay availability is non-authoritative</x:v>
      </x:c>
    </x:row>
    <x:row r="14" ht="21.600000381469727" hidden="0" customHeight="1">
      <x:c r="A14" s="69" t="str">
        <x:v>RUN-009</x:v>
      </x:c>
      <x:c r="B14" s="70" t="n">
        <x:v>46254.02847222222</x:v>
      </x:c>
      <x:c r="C14" s="69" t="str">
        <x:v>NutFT two-wallet browser E2E</x:v>
      </x:c>
      <x:c r="D14" s="69" t="str">
        <x:v>Mint booster; verify seven cards; download backup; transfer one card; import in second context; open deck builder</x:v>
      </x:c>
      <x:c r="E14" s="69" t="str">
        <x:v>Pass</x:v>
      </x:c>
      <x:c r="F14" s="71" t="n">
        <x:v>6</x:v>
      </x:c>
      <x:c r="G14" s="71" t="n">
        <x:v>0</x:v>
      </x:c>
      <x:c r="H14" s="71" t="n">
        <x:v>0</x:v>
      </x:c>
      <x:c r="I14" s="69" t="str">
        <x:v>7 minted; sender 6; recipient 1; DLEQ/P2BK/Blossom checks visible; deck shows six owned cards</x:v>
      </x:c>
      <x:c r="J14" s="69" t="str">
        <x:v>Screenshots and report in dev-browser tmp/nutft-final</x:v>
      </x:c>
    </x:row>
    <x:row r="15" ht="21.600000381469727" hidden="0" customHeight="1">
      <x:c r="A15" s="69" t="str">
        <x:v>RUN-010</x:v>
      </x:c>
      <x:c r="B15" s="70" t="n">
        <x:v>46254.02847222222</x:v>
      </x:c>
      <x:c r="C15" s="69" t="str">
        <x:v>Platform interaction and mobile matrix</x:v>
      </x:c>
      <x:c r="D15" s="69" t="str">
        <x:v>Browser keyboard/search/filter/dialog/deck/shop/play/rules/FX flows plus eight routes at 390×844</x:v>
      </x:c>
      <x:c r="E15" s="69" t="str">
        <x:v>Pass</x:v>
      </x:c>
      <x:c r="F15" s="71" t="n">
        <x:v>17</x:v>
      </x:c>
      <x:c r="G15" s="71" t="n">
        <x:v>0</x:v>
      </x:c>
      <x:c r="H15" s="71" t="n">
        <x:v>0</x:v>
      </x:c>
      <x:c r="I15" s="69" t="str">
        <x:v>296-card gallery, legal 40-card save/reload, free pack persistence/verification/handoff, seeded NPC match, rules/FX, no horizontal overflow</x:v>
      </x:c>
      <x:c r="J15" s="69" t="str">
        <x:v>Online/action state machines covered by RUN-006</x:v>
      </x:c>
    </x:row>
  </x:sheetData>
  <x:mergeCells>
    <x:mergeCell ref="A1:J1"/>
    <x:mergeCell ref="A2:J2"/>
  </x:mergeCells>
  <x:conditionalFormatting sqref="E6:E15">
    <x:cfRule type="containsText" dxfId="14" priority="1" operator="containsText" text="Pass"/>
    <x:cfRule type="containsText" dxfId="15" priority="2" operator="containsText" text="Fail"/>
    <x:cfRule type="containsText" dxfId="16" priority="3" operator="containsText" text="Blocked"/>
    <x:cfRule type="containsText" dxfId="17" priority="4" operator="containsText" text="Not Run"/>
  </x:conditionalFormatting>
  <x:pageMargins left="0.7" right="0.7" top="0.75" bottom="0.75" header="0.3" footer="0.3"/>
  <x:tableParts count="1">
    <x:tablePart xmlns:r="http://schemas.openxmlformats.org/officeDocument/2006/relationships" r:id="Re6045080c0144812"/>
  </x:tableParts>
</x:worksheet>
</file>