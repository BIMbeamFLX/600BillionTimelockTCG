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714fed5ce845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431733f049847bf"/>
    <x:sheet xmlns:r="http://schemas.openxmlformats.org/officeDocument/2006/relationships" name="User Stories" sheetId="2" r:id="Raafce013bfeb41d0"/>
    <x:sheet xmlns:r="http://schemas.openxmlformats.org/officeDocument/2006/relationships" name="Protocol" sheetId="3" r:id="R07e7b89b191643fa"/>
    <x:sheet xmlns:r="http://schemas.openxmlformats.org/officeDocument/2006/relationships" name="Defects" sheetId="4" r:id="R8f235cbca54147e5"/>
    <x:sheet xmlns:r="http://schemas.openxmlformats.org/officeDocument/2006/relationships" name="Test Runs" sheetId="5" r:id="R1c78e9095a7a4a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#,##0"/>
  </x:numFmts>
  <x:fonts count="19">
    <x:font>
      <x:sz val="11"/>
      <x:name val="Carlito"/>
    </x:font>
    <x:font>
      <x:b/>
      <x:sz val="18"/>
      <x:color rgb="FFFFF7EC"/>
      <x:name val="Carlito"/>
    </x:font>
    <x:font>
      <x:i/>
      <x:sz val="11"/>
      <x:color rgb="FFB8AFBF"/>
      <x:name val="Carlito"/>
    </x:font>
    <x:font>
      <x:b/>
      <x:sz val="11"/>
      <x:color rgb="FFFFF7EC"/>
      <x:name val="Carlito"/>
    </x:font>
    <x:font>
      <x:b/>
      <x:sz val="11"/>
      <x:color rgb="FFFFFFFF"/>
      <x:name val="Carlito"/>
    </x:font>
    <x:font>
      <x:b/>
      <x:sz val="11"/>
      <x:color rgb="FF16683F"/>
      <x:name val="Carlito"/>
    </x:font>
    <x:font>
      <x:b/>
      <x:sz val="10"/>
      <x:color rgb="FF221B27"/>
      <x:name val="Arial"/>
    </x:font>
    <x:font>
      <x:sz val="10"/>
      <x:color rgb="FF221B27"/>
      <x:name val="Arial"/>
    </x:font>
    <x:font>
      <x:i/>
      <x:sz val="10"/>
      <x:color rgb="FF221B27"/>
      <x:name val="Arial"/>
    </x:font>
    <x:font>
      <x:b/>
      <x:sz val="10"/>
      <x:color rgb="FFFFF7EC"/>
      <x:name val="Arial"/>
    </x:font>
    <x:font>
      <x:sz val="10"/>
      <x:color rgb="FFFFF7EC"/>
      <x:name val="Arial"/>
    </x:font>
    <x:font>
      <x:i/>
      <x:sz val="10"/>
      <x:color rgb="FFFFF7EC"/>
      <x:name val="Arial"/>
    </x:font>
    <x:font>
      <x:b/>
      <x:sz val="9"/>
      <x:color rgb="FF221B27"/>
      <x:name val="Arial"/>
    </x:font>
    <x:font>
      <x:sz val="9"/>
      <x:color rgb="FF221B27"/>
      <x:name val="Arial"/>
    </x:font>
    <x:font>
      <x:i/>
      <x:sz val="9"/>
      <x:color rgb="FF221B27"/>
      <x:name val="Arial"/>
    </x:font>
    <x:font>
      <x:b/>
      <x:sz val="9"/>
      <x:color rgb="FFFFF7EC"/>
      <x:name val="Arial"/>
    </x:font>
    <x:font>
      <x:sz val="9"/>
      <x:color rgb="FFFFF7EC"/>
      <x:name val="Arial"/>
    </x:font>
    <x:font>
      <x:sz val="11"/>
      <x:color rgb="FFFFF7EC"/>
      <x:name val="Arial"/>
    </x:font>
    <x:font>
      <x:i/>
      <x:sz val="9"/>
      <x:color rgb="FFFFF7E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9080B"/>
      </x:patternFill>
    </x:fill>
    <x:fill>
      <x:patternFill patternType="solid">
        <x:fgColor rgb="FF17131E"/>
      </x:patternFill>
    </x:fill>
    <x:fill>
      <x:patternFill patternType="solid">
        <x:fgColor rgb="FF7447B8"/>
      </x:patternFill>
    </x:fill>
    <x:fill>
      <x:patternFill patternType="solid">
        <x:fgColor rgb="FFDDF4E7"/>
      </x:patternFill>
    </x:fill>
  </x:fills>
  <x:borders count="9">
    <x:border/>
    <x:border>
      <x:left style="thin">
        <x:color rgb="FFD8C8E8"/>
      </x:left>
      <x:top style="thin">
        <x:color rgb="FFD8C8E8"/>
      </x:top>
      <x:bottom style="thin">
        <x:color rgb="FFD8C8E8"/>
      </x:bottom>
    </x:border>
    <x:border>
      <x:right style="thin">
        <x:color rgb="FFD8C8E8"/>
      </x:right>
      <x:top style="thin">
        <x:color rgb="FFD8C8E8"/>
      </x:top>
      <x:bottom style="thin">
        <x:color rgb="FFD8C8E8"/>
      </x:bottom>
    </x:border>
    <x:border>
      <x:top style="thin">
        <x:color rgb="FFD8C8E8"/>
      </x:top>
      <x:bottom style="thin">
        <x:color rgb="FFD8C8E8"/>
      </x:bottom>
    </x:border>
    <x:border>
      <x:bottom style="thin">
        <x:color rgb="FFE5DDE8"/>
      </x:bottom>
    </x:border>
    <x:border>
      <x:left style="thin">
        <x:color rgb="FFD8C8E8"/>
      </x:left>
      <x:bottom style="thin">
        <x:color rgb="FFE5DDE8"/>
      </x:bottom>
    </x:border>
    <x:border>
      <x:right style="thin">
        <x:color rgb="FFD8C8E8"/>
      </x:right>
      <x:bottom style="thin">
        <x:color rgb="FFE5DDE8"/>
      </x:bottom>
    </x:border>
    <x:border>
      <x:top style="thin">
        <x:color rgb="FFE5DDE8"/>
      </x:top>
      <x:bottom style="thin">
        <x:color rgb="FFE5DDE8"/>
      </x:bottom>
    </x:border>
    <x:border>
      <x:top style="thin">
        <x:color rgb="FFE5DDE8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3" borderId="0" xfId="0" applyNumberFormat="1" applyFont="1" applyFill="1" applyBorder="1" applyAlignment="1">
      <x:alignment wrapText="1"/>
    </x:xf>
    <x:xf numFmtId="0" fontId="6" fillId="3" borderId="4" xfId="0" applyNumberFormat="1" applyFont="1" applyFill="1" applyBorder="1"/>
    <x:xf numFmtId="0" fontId="7" fillId="0" borderId="4" xfId="0" applyNumberFormat="1" applyFont="1" applyFill="1" applyBorder="1" applyAlignment="1">
      <x:alignment wrapText="1"/>
    </x:xf>
    <x:xf numFmtId="0" fontId="7" fillId="0" borderId="4" xfId="0" applyNumberFormat="1" applyFont="1" applyFill="1" applyBorder="1"/>
    <x:xf numFmtId="0" fontId="6" fillId="4" borderId="5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4" xfId="0" applyNumberFormat="1" applyFont="1" applyFill="1" applyBorder="1" applyAlignment="1">
      <x:alignment vertical="center" wrapText="1"/>
    </x:xf>
    <x:xf numFmtId="0" fontId="6" fillId="3" borderId="7" xfId="0" applyNumberFormat="1" applyFont="1" applyFill="1" applyBorder="1"/>
    <x:xf numFmtId="0" fontId="7" fillId="0" borderId="7" xfId="0" applyNumberFormat="1" applyFont="1" applyFill="1" applyBorder="1" applyAlignment="1">
      <x:alignment wrapText="1"/>
    </x:xf>
    <x:xf numFmtId="0" fontId="7" fillId="0" borderId="7" xfId="0" applyNumberFormat="1" applyFont="1" applyFill="1" applyBorder="1"/>
    <x:xf numFmtId="200" fontId="7" fillId="0" borderId="7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/>
    <x:xf numFmtId="0" fontId="9" fillId="3" borderId="4" xfId="0" applyNumberFormat="1" applyFont="1" applyFill="1" applyBorder="1"/>
    <x:xf numFmtId="0" fontId="9" fillId="3" borderId="7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4" fillId="3" borderId="0" xfId="0" applyNumberFormat="1" applyFont="1" applyFill="1" applyBorder="1" applyAlignment="1">
      <x:alignment wrapText="1"/>
    </x:xf>
    <x:xf numFmtId="0" fontId="12" fillId="4" borderId="1" xfId="0" applyNumberFormat="1" applyFont="1" applyFill="1" applyBorder="1" applyAlignment="1">
      <x:alignment vertical="center" wrapText="1"/>
    </x:xf>
    <x:xf numFmtId="0" fontId="12" fillId="4" borderId="3" xfId="0" applyNumberFormat="1" applyFont="1" applyFill="1" applyBorder="1" applyAlignment="1">
      <x:alignment vertical="center"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top" wrapText="1"/>
    </x:xf>
    <x:xf numFmtId="200" fontId="13" fillId="0" borderId="0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18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200" fontId="13" fillId="0" borderId="0" xfId="0" applyNumberFormat="1" applyFont="1" applyFill="1" applyBorder="1" applyAlignment="1">
      <x:alignment wrapText="1"/>
    </x:xf>
    <x:xf numFmtId="201" fontId="1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FFFFFF"/>
      </x:font>
      <x:fill>
        <x:patternFill patternType="solid">
          <x:bgColor rgb="FF7F1D1D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760c0ab7ba4c93" /><Relationship Type="http://schemas.openxmlformats.org/officeDocument/2006/relationships/theme" Target="/xl/theme/theme1.xml" Id="R3746d9f78f2e4cba" /><Relationship Type="http://schemas.openxmlformats.org/officeDocument/2006/relationships/sharedStrings" Target="/xl/sharedStrings.xml" Id="R7d8402716d1b4498" /><Relationship Type="http://schemas.openxmlformats.org/officeDocument/2006/relationships/worksheet" Target="/xl/worksheets/sheet1.xml" Id="R4431733f049847bf" /><Relationship Type="http://schemas.openxmlformats.org/officeDocument/2006/relationships/worksheet" Target="/xl/worksheets/sheet2.xml" Id="Raafce013bfeb41d0" /><Relationship Type="http://schemas.openxmlformats.org/officeDocument/2006/relationships/worksheet" Target="/xl/worksheets/sheet3.xml" Id="R07e7b89b191643fa" /><Relationship Type="http://schemas.openxmlformats.org/officeDocument/2006/relationships/worksheet" Target="/xl/worksheets/sheet4.xml" Id="R8f235cbca54147e5" /><Relationship Type="http://schemas.openxmlformats.org/officeDocument/2006/relationships/worksheet" Target="/xl/worksheets/sheet5.xml" Id="R1c78e9095a7a4ab8" /><Relationship Type="http://schemas.microsoft.com/office/2017/10/relationships/person" Target="/xl/persons/person.xml" Id="Re9df089f80554707" /></Relationships>
</file>

<file path=xl/persons/person.xml><?xml version="1.0" encoding="utf-8"?>
<xltc:personList xmlns:xltc="http://schemas.microsoft.com/office/spreadsheetml/2018/threadedcomments">
  <xltc:person displayName="Breno" id="{48E8FDB5-6176-4F8F-97C1-784795BAF667}"/>
</xltc:personList>
</file>

<file path=xl/tables/table1.xml><?xml version="1.0" encoding="utf-8"?>
<x:table xmlns:x="http://schemas.openxmlformats.org/spreadsheetml/2006/main" id="1" name="UserStoriesTable" displayName="UserStoriesTable" ref="A5:O83" headerRowCount="1" totalsRowCount="0" totalsRowShown="0">
  <x:tableColumns count="15">
    <x:tableColumn id="1" name="ID"/>
    <x:tableColumn id="2" name="Area"/>
    <x:tableColumn id="3" name="Persona"/>
    <x:tableColumn id="4" name="User story"/>
    <x:tableColumn id="5" name="Expected behaviour"/>
    <x:tableColumn id="6" name="Route / surface"/>
    <x:tableColumn id="7" name="Preconditions"/>
    <x:tableColumn id="8" name="Interaction / evidence"/>
    <x:tableColumn id="9" name="Automated check"/>
    <x:tableColumn id="10" name="Pre-fix status"/>
    <x:tableColumn id="11" name="Current status"/>
    <x:tableColumn id="12" name="Last tested"/>
    <x:tableColumn id="13" name="Defect IDs"/>
    <x:tableColumn id="14" name="Notes"/>
    <x:tableColumn id="15" name="Sour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rotocolTable" displayName="ProtocolTable" ref="A5:G31" headerRowCount="1" totalsRowCount="0" totalsRowShown="0">
  <x:tableColumns count="7">
    <x:tableColumn id="1" name="ID"/>
    <x:tableColumn id="2" name="Spec area"/>
    <x:tableColumn id="3" name="Requirement"/>
    <x:tableColumn id="4" name="Implementation evidence"/>
    <x:tableColumn id="5" name="Test evidence"/>
    <x:tableColumn id="6" name="Status"/>
    <x:tableColumn id="7" name="Defect ID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efectsTable" displayName="DefectsTable" ref="A5:K45" headerRowCount="1" totalsRowCount="0" totalsRowShown="0">
  <x:tableColumns count="11">
    <x:tableColumn id="1" name="ID"/>
    <x:tableColumn id="2" name="Severity"/>
    <x:tableColumn id="3" name="Area"/>
    <x:tableColumn id="4" name="Summary"/>
    <x:tableColumn id="5" name="Reproduction"/>
    <x:tableColumn id="6" name="Expected"/>
    <x:tableColumn id="7" name="Actual"/>
    <x:tableColumn id="8" name="Source evidence"/>
    <x:tableColumn id="9" name="Regression test"/>
    <x:tableColumn id="10" name="Fix commit"/>
    <x:tableColumn id="11" name="Statu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stRunsTable" displayName="TestRunsTable" ref="A5:J15" headerRowCount="1" totalsRowCount="0" totalsRowShown="0">
  <x:tableColumns count="10">
    <x:tableColumn id="1" name="Run ID"/>
    <x:tableColumn id="2" name="Timestamp"/>
    <x:tableColumn id="3" name="Scope"/>
    <x:tableColumn id="4" name="Command / steps"/>
    <x:tableColumn id="5" name="Result"/>
    <x:tableColumn id="6" name="Pass"/>
    <x:tableColumn id="7" name="Fail"/>
    <x:tableColumn id="8" name="Blocked"/>
    <x:tableColumn id="9" name="Evidence"/>
    <x:tableColumn id="10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cb882d1a184b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ed1954041041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11f5f9f293348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1b8d5d96c1e4d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36" hidden="0" customWidth="1"/>
    <x:col min="4" max="4" width="20" hidden="0" customWidth="1"/>
    <x:col min="5" max="5" width="14" hidden="0" customWidth="1"/>
    <x:col min="6" max="6" width="34" hidden="0" customWidth="1"/>
    <x:col min="7" max="7" width="12" hidden="0" customWidth="1"/>
    <x:col min="8" max="8" width="42" hidden="0" customWidth="1"/>
  </x:cols>
  <x:sheetData>
    <x:row r="1" ht="32" customHeight="1">
      <x:c r="A1" s="34" t="str">
        <x:v>NutFT platform validation</x:v>
      </x:c>
      <x:c r="B1" s="35"/>
      <x:c r="C1" s="35"/>
      <x:c r="D1" s="35"/>
      <x:c r="E1" s="35"/>
      <x:c r="F1" s="35"/>
      <x:c r="G1" s="35"/>
      <x:c r="H1" s="35"/>
    </x:row>
    <x:row r="2" ht="32" customHeight="1">
      <x:c r="A2" s="36" t="str">
        <x:v>Canonical feature, protocol, defect, and test-run status for PR #4 · branch feat/cashu-booster-demo</x:v>
      </x:c>
      <x:c r="B2" s="35"/>
      <x:c r="C2" s="35"/>
      <x:c r="D2" s="35"/>
      <x:c r="E2" s="35"/>
      <x:c r="F2" s="35"/>
      <x:c r="G2" s="35"/>
      <x:c r="H2" s="3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50" t="str">
        <x:v>Branch</x:v>
      </x:c>
      <x:c r="B4" s="38" t="str">
        <x:v>feat/cashu-booster-demo</x:v>
      </x:c>
      <x:c r="C4" s="39"/>
      <x:c r="D4" s="40" t="str">
        <x:v>User stories</x:v>
      </x:c>
      <x:c r="E4" s="41" t="str">
        <x:v>Count</x:v>
      </x:c>
      <x:c r="F4" s="39"/>
      <x:c r="G4" s="40" t="str">
        <x:v>Open defects</x:v>
      </x:c>
      <x:c r="H4" s="42" t="str">
        <x:v>Count</x:v>
      </x:c>
    </x:row>
    <x:row r="5">
      <x:c r="A5" s="51" t="str">
        <x:v>PR</x:v>
      </x:c>
      <x:c r="B5" s="44" t="str">
        <x:v>https://github.com/BIMbeamFLX/600BillionTimelockTCG/pull/4</x:v>
      </x:c>
      <x:c r="C5" s="45"/>
      <x:c r="D5" s="45" t="str">
        <x:v>Total</x:v>
      </x:c>
      <x:c r="E5" s="45" t="n">
        <x:f>COUNTA('User Stories'!$A$6:$A$200)</x:f>
        <x:v>78</x:v>
      </x:c>
      <x:c r="F5" s="45"/>
      <x:c r="G5" s="45" t="str">
        <x:v>Total open</x:v>
      </x:c>
      <x:c r="H5" s="45" t="n">
        <x:f>COUNTIF('Defects'!$K$6:$K$100,"Open")</x:f>
        <x:v>0</x:v>
      </x:c>
    </x:row>
    <x:row r="6">
      <x:c r="A6" s="51" t="str">
        <x:v>NUT-31 source</x:v>
      </x:c>
      <x:c r="B6" s="44" t="str">
        <x:v>/Users/breno/Documents/code/PROJECTS/SEC-08/NutFT/31.md</x:v>
      </x:c>
      <x:c r="C6" s="45"/>
      <x:c r="D6" s="45" t="str">
        <x:v>Pass</x:v>
      </x:c>
      <x:c r="E6" s="45" t="n">
        <x:f>COUNTIF('User Stories'!$K$6:$K$200,"Pass")</x:f>
        <x:v>78</x:v>
      </x:c>
      <x:c r="F6" s="45"/>
      <x:c r="G6" s="45" t="str">
        <x:v>Critical</x:v>
      </x:c>
      <x:c r="H6" s="45" t="n">
        <x:f>COUNTIFS('Defects'!$B$6:$B$100,"Critical",'Defects'!$K$6:$K$100,"Open")</x:f>
        <x:v>0</x:v>
      </x:c>
    </x:row>
    <x:row r="7">
      <x:c r="A7" s="51" t="str">
        <x:v>Demo profile</x:v>
      </x:c>
      <x:c r="B7" s="44" t="str">
        <x:v>/Users/breno/Documents/code/PROJECTS/SEC-08/NutFT/docs/demo-spec.md</x:v>
      </x:c>
      <x:c r="C7" s="45"/>
      <x:c r="D7" s="45" t="str">
        <x:v>Fail</x:v>
      </x:c>
      <x:c r="E7" s="45" t="n">
        <x:f>COUNTIF('User Stories'!$K$6:$K$200,"Fail")</x:f>
        <x:v>0</x:v>
      </x:c>
      <x:c r="F7" s="45"/>
      <x:c r="G7" s="45" t="str">
        <x:v>High</x:v>
      </x:c>
      <x:c r="H7" s="45" t="n">
        <x:f>COUNTIFS('Defects'!$B$6:$B$100,"High",'Defects'!$K$6:$K$100,"Open")</x:f>
        <x:v>0</x:v>
      </x:c>
    </x:row>
    <x:row r="8">
      <x:c r="A8" s="51" t="str">
        <x:v>Baseline commit</x:v>
      </x:c>
      <x:c r="B8" s="44" t="str">
        <x:v>72555a8</x:v>
      </x:c>
      <x:c r="C8" s="45"/>
      <x:c r="D8" s="45" t="str">
        <x:v>Not Run</x:v>
      </x:c>
      <x:c r="E8" s="45" t="n">
        <x:f>COUNTIF('User Stories'!$K$6:$K$200,"Not Run")</x:f>
        <x:v>0</x:v>
      </x:c>
      <x:c r="F8" s="45"/>
      <x:c r="G8" s="45" t="str">
        <x:v>Medium</x:v>
      </x:c>
      <x:c r="H8" s="45" t="n">
        <x:f>COUNTIFS('Defects'!$B$6:$B$100,"Medium",'Defects'!$K$6:$K$100,"Open")</x:f>
        <x:v>0</x:v>
      </x:c>
    </x:row>
    <x:row r="9">
      <x:c r="A9" s="51" t="str">
        <x:v>Last updated</x:v>
      </x:c>
      <x:c r="B9" s="46" t="n">
        <x:v>46254.02847222222</x:v>
      </x:c>
      <x:c r="C9" s="45"/>
      <x:c r="D9" s="45" t="str">
        <x:v>Blocked</x:v>
      </x:c>
      <x:c r="E9" s="45" t="n">
        <x:f>COUNTIF('User Stories'!$K$6:$K$200,"Blocked")</x:f>
        <x:v>0</x:v>
      </x:c>
      <x:c r="F9" s="45"/>
      <x:c r="G9" s="45" t="str">
        <x:v>Low</x:v>
      </x:c>
      <x:c r="H9" s="45" t="n">
        <x:f>COUNTIFS('Defects'!$B$6:$B$100,"Low",'Defects'!$K$6:$K$100,"Open")</x:f>
        <x:v>0</x:v>
      </x:c>
    </x:row>
    <x:row r="10">
      <x:c r="A10" s="45"/>
      <x:c r="B10" s="45"/>
      <x:c r="C10" s="45"/>
      <x:c r="D10" s="45"/>
      <x:c r="E10" s="45"/>
      <x:c r="F10" s="45"/>
      <x:c r="G10" s="45"/>
      <x:c r="H10" s="45"/>
    </x:row>
    <x:row r="11" ht="36" customHeight="1">
      <x:c r="A11" s="47" t="str">
        <x:v>Current gate: COMPLETE. All 78 cataloged user stories and 26 protocol requirements pass final automated/browser evidence. All 39 in-scope defects are verified; D-018 tracks six pre-existing optional art/font checks.</x:v>
      </x:c>
      <x:c r="B11" s="45"/>
      <x:c r="C11" s="45"/>
      <x:c r="D11" s="45"/>
      <x:c r="E11" s="45"/>
      <x:c r="F11" s="45"/>
      <x:c r="G11" s="45"/>
      <x:c r="H11" s="45"/>
    </x:row>
    <x:row r="12">
      <x:c r="A12" s="45"/>
      <x:c r="B12" s="45"/>
      <x:c r="C12" s="45"/>
      <x:c r="D12" s="45"/>
      <x:c r="E12" s="45"/>
      <x:c r="F12" s="45"/>
      <x:c r="G12" s="45"/>
      <x:c r="H12" s="45"/>
    </x:row>
    <x:row r="13">
      <x:c r="A13" s="48" t="str">
        <x:v>Phase</x:v>
      </x:c>
      <x:c r="B13" s="48" t="str">
        <x:v>Status</x:v>
      </x:c>
      <x:c r="C13" s="48" t="str">
        <x:v>Evidence</x:v>
      </x:c>
      <x:c r="D13" s="48" t="str">
        <x:v>Next</x:v>
      </x:c>
      <x:c r="E13" s="48" t="str">
        <x:v>Owner</x:v>
      </x:c>
      <x:c r="F13" s="48" t="str">
        <x:v>Spec gate</x:v>
      </x:c>
      <x:c r="G13" s="48" t="str">
        <x:v>PR</x:v>
      </x:c>
      <x:c r="H13" s="48" t="str">
        <x:v>Notes</x:v>
      </x:c>
    </x:row>
    <x:row r="14">
      <x:c r="A14" s="45" t="str">
        <x:v>Inventory</x:v>
      </x:c>
      <x:c r="B14" s="45" t="str">
        <x:v>Complete</x:v>
      </x:c>
      <x:c r="C14" s="45" t="str">
        <x:v>78 stories · 26 protocol rows · 40 defects</x:v>
      </x:c>
      <x:c r="D14" s="45" t="str">
        <x:v>None</x:v>
      </x:c>
      <x:c r="E14" s="45" t="str">
        <x:v>Parent</x:v>
      </x:c>
      <x:c r="F14" s="45" t="str">
        <x:v>Every coded feature has a story</x:v>
      </x:c>
      <x:c r="G14" s="45" t="str">
        <x:v>#4</x:v>
      </x:c>
      <x:c r="H14" s="45" t="str">
        <x:v>Three adversarial reviews merged</x:v>
      </x:c>
    </x:row>
    <x:row r="15">
      <x:c r="A15" s="45" t="str">
        <x:v>Pre-fix testing</x:v>
      </x:c>
      <x:c r="B15" s="45" t="str">
        <x:v>Complete</x:v>
      </x:c>
      <x:c r="C15" s="45" t="str">
        <x:v>RUN-001..004</x:v>
      </x:c>
      <x:c r="D15" s="45" t="str">
        <x:v>None</x:v>
      </x:c>
      <x:c r="E15" s="45" t="str">
        <x:v>Parent</x:v>
      </x:c>
      <x:c r="F15" s="45" t="str">
        <x:v>Every baseline failure recorded</x:v>
      </x:c>
      <x:c r="G15" s="45" t="str">
        <x:v>#4</x:v>
      </x:c>
      <x:c r="H15" s="45" t="str">
        <x:v>Frozen baseline columns retained</x:v>
      </x:c>
    </x:row>
    <x:row r="16">
      <x:c r="A16" s="45" t="str">
        <x:v>TDD fixes</x:v>
      </x:c>
      <x:c r="B16" s="45" t="str">
        <x:v>Complete</x:v>
      </x:c>
      <x:c r="C16" s="45" t="str">
        <x:v>14 atomic commits with regressions</x:v>
      </x:c>
      <x:c r="D16" s="45" t="str">
        <x:v>None</x:v>
      </x:c>
      <x:c r="E16" s="45" t="str">
        <x:v>Parent</x:v>
      </x:c>
      <x:c r="F16" s="45" t="str">
        <x:v>All in-scope app defects fixed</x:v>
      </x:c>
      <x:c r="G16" s="45" t="str">
        <x:v>#4</x:v>
      </x:c>
      <x:c r="H16" s="45" t="str">
        <x:v>Security boundaries retained</x:v>
      </x:c>
    </x:row>
    <x:row r="17">
      <x:c r="A17" s="45" t="str">
        <x:v>Post-fix retest</x:v>
      </x:c>
      <x:c r="B17" s="45" t="str">
        <x:v>Complete</x:v>
      </x:c>
      <x:c r="C17" s="45" t="str">
        <x:v>RUN-005..010</x:v>
      </x:c>
      <x:c r="D17" s="45" t="str">
        <x:v>None</x:v>
      </x:c>
      <x:c r="E17" s="45" t="str">
        <x:v>Parent</x:v>
      </x:c>
      <x:c r="F17" s="45" t="str">
        <x:v>No unresolved behavior failures</x:v>
      </x:c>
      <x:c r="G17" s="45" t="str">
        <x:v>#4</x:v>
      </x:c>
      <x:c r="H17" s="45" t="str">
        <x:v>316 JS + two browser matrices</x:v>
      </x:c>
    </x:row>
    <x:row r="18">
      <x:c r="A18" s="49" t="str">
        <x:v>Completion audit</x:v>
      </x:c>
      <x:c r="B18" s="49" t="str">
        <x:v>Complete</x:v>
      </x:c>
      <x:c r="C18" s="49" t="str">
        <x:v>Workbook, specs, tests and branch agree</x:v>
      </x:c>
      <x:c r="D18" s="49" t="str">
        <x:v>Push and CI</x:v>
      </x:c>
      <x:c r="E18" s="49" t="str">
        <x:v>Parent</x:v>
      </x:c>
      <x:c r="F18" s="49" t="str">
        <x:v>Workbook + tests + PR agree</x:v>
      </x:c>
      <x:c r="G18" s="49" t="str">
        <x:v>#4</x:v>
      </x:c>
      <x:c r="H18" s="49" t="str">
        <x:v>D-018 is unrelated historical art environment</x:v>
      </x:c>
    </x:row>
  </x:sheetData>
  <x:mergeCells>
    <x:mergeCell ref="A1:H1"/>
    <x:mergeCell ref="A2:H2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46" hidden="0" customWidth="1"/>
    <x:col min="5" max="5" width="62" hidden="0" customWidth="1"/>
    <x:col min="6" max="6" width="26" hidden="0" customWidth="1"/>
    <x:col min="7" max="7" width="30" hidden="0" customWidth="1"/>
    <x:col min="8" max="8" width="48" hidden="0" customWidth="1"/>
    <x:col min="9" max="9" width="38" hidden="0" customWidth="1"/>
    <x:col min="10" max="10" width="16" hidden="0" customWidth="1"/>
    <x:col min="11" max="11" width="16" hidden="0" customWidth="1"/>
    <x:col min="12" max="12" width="20" hidden="0" customWidth="1"/>
    <x:col min="13" max="13" width="18" hidden="0" customWidth="1"/>
    <x:col min="14" max="14" width="40" hidden="0" customWidth="1"/>
    <x:col min="15" max="15" width="32" hidden="0" customWidth="1"/>
  </x:cols>
  <x:sheetData>
    <x:row r="1" ht="15" hidden="0" customHeight="1">
      <x:c r="A1" s="65" t="str">
        <x:v>User stories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  <x:c r="O1" s="66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One row per user-visible behavior. Pre-fix status is frozen baseline; Current status changes only with recorded evidence.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</x:row>
    <x:row r="5" ht="15" hidden="0" customHeight="1">
      <x:c r="A5" s="60" t="str">
        <x:v>ID</x:v>
      </x:c>
      <x:c r="B5" s="61" t="str">
        <x:v>Area</x:v>
      </x:c>
      <x:c r="C5" s="61" t="str">
        <x:v>Persona</x:v>
      </x:c>
      <x:c r="D5" s="61" t="str">
        <x:v>User story</x:v>
      </x:c>
      <x:c r="E5" s="61" t="str">
        <x:v>Expected behaviour</x:v>
      </x:c>
      <x:c r="F5" s="61" t="str">
        <x:v>Route / surface</x:v>
      </x:c>
      <x:c r="G5" s="61" t="str">
        <x:v>Preconditions</x:v>
      </x:c>
      <x:c r="H5" s="61" t="str">
        <x:v>Interaction / evidence</x:v>
      </x:c>
      <x:c r="I5" s="61" t="str">
        <x:v>Automated check</x:v>
      </x:c>
      <x:c r="J5" s="61" t="str">
        <x:v>Pre-fix status</x:v>
      </x:c>
      <x:c r="K5" s="61" t="str">
        <x:v>Current status</x:v>
      </x:c>
      <x:c r="L5" s="61" t="str">
        <x:v>Last tested</x:v>
      </x:c>
      <x:c r="M5" s="61" t="str">
        <x:v>Defect IDs</x:v>
      </x:c>
      <x:c r="N5" s="61" t="str">
        <x:v>Notes</x:v>
      </x:c>
      <x:c r="O5" s="62" t="str">
        <x:v>Source</x:v>
      </x:c>
    </x:row>
    <x:row r="6" ht="21.600000381469727" hidden="0" customHeight="1">
      <x:c r="A6" s="63" t="str">
        <x:v>US-001</x:v>
      </x:c>
      <x:c r="B6" s="63" t="str">
        <x:v>Navigation</x:v>
      </x:c>
      <x:c r="C6" s="63" t="str">
        <x:v>Visitor</x:v>
      </x:c>
      <x:c r="D6" s="63" t="str">
        <x:v>As a visitor, I can open the homepage and reach every primary applet.</x:v>
      </x:c>
      <x:c r="E6" s="63" t="str">
        <x:v>Homepage loads its hero and links to Play, Shop, Cards, Stacks, Rules, Lore, and Leaderboard.</x:v>
      </x:c>
      <x:c r="F6" s="63" t="str">
        <x:v>/index.html</x:v>
      </x:c>
      <x:c r="G6" s="63" t="str">
        <x:v>Running table server</x:v>
      </x:c>
      <x:c r="H6" s="63" t="str">
        <x:v>Open page; follow primary navigation</x:v>
      </x:c>
      <x:c r="I6" s="63" t="str">
        <x:v>RUN-006 automated suite + RUN-008/009/010 browser evidence</x:v>
      </x:c>
      <x:c r="J6" s="63" t="str">
        <x:v>Pass</x:v>
      </x:c>
      <x:c r="K6" s="63" t="str">
        <x:v>Pass</x:v>
      </x:c>
      <x:c r="L6" s="64" t="n">
        <x:v>46254.02847222222</x:v>
      </x:c>
      <x:c r="M6" s="63" t="str"/>
      <x:c r="N6" s="63" t="str">
        <x:v>Verified on final branch b1fd2bf</x:v>
      </x:c>
      <x:c r="O6" s="63" t="str">
        <x:v>site/index.html:313</x:v>
      </x:c>
    </x:row>
    <x:row r="7" ht="21.600000381469727" hidden="0" customHeight="1">
      <x:c r="A7" s="63" t="str">
        <x:v>US-002</x:v>
      </x:c>
      <x:c r="B7" s="63" t="str">
        <x:v>Home</x:v>
      </x:c>
      <x:c r="C7" s="63" t="str">
        <x:v>Visitor</x:v>
      </x:c>
      <x:c r="D7" s="63" t="str">
        <x:v>As a visitor, I can flip the featured card.</x:v>
      </x:c>
      <x:c r="E7" s="63" t="str">
        <x:v>Click, Enter, or Space reveals a shipped Edition One face; another click or five seconds returns the back.</x:v>
      </x:c>
      <x:c r="F7" s="63" t="str">
        <x:v>/index.html#flipcard</x:v>
      </x:c>
      <x:c r="G7" s="63" t="str">
        <x:v>Homepage loaded</x:v>
      </x:c>
      <x:c r="H7" s="63" t="str">
        <x:v>Activate #flipcard twice and with keyboard</x:v>
      </x:c>
      <x:c r="I7" s="63" t="str">
        <x:v>RUN-006 automated suite + RUN-008/009/010 browser evidence</x:v>
      </x:c>
      <x:c r="J7" s="63" t="str">
        <x:v>Not Run</x:v>
      </x:c>
      <x:c r="K7" s="63" t="str">
        <x:v>Pass</x:v>
      </x:c>
      <x:c r="L7" s="64" t="n">
        <x:v>46254.02847222222</x:v>
      </x:c>
      <x:c r="M7" s="63" t="str"/>
      <x:c r="N7" s="63" t="str">
        <x:v>Verified on final branch b1fd2bf</x:v>
      </x:c>
      <x:c r="O7" s="63" t="str">
        <x:v>site/index.html:610</x:v>
      </x:c>
    </x:row>
    <x:row r="8" ht="21.600000381469727" hidden="0" customHeight="1">
      <x:c r="A8" s="63" t="str">
        <x:v>US-003</x:v>
      </x:c>
      <x:c r="B8" s="63" t="str">
        <x:v>Identity</x:v>
      </x:c>
      <x:c r="C8" s="63" t="str">
        <x:v>Nostr player</x:v>
      </x:c>
      <x:c r="D8" s="63" t="str">
        <x:v>As a player, I can sign in from the homepage or get a useful unsupported message.</x:v>
      </x:c>
      <x:c r="E8" s="63" t="str">
        <x:v>NIP-07/shell identity is shown as npub; absence or refusal leaves the page usable and explains why.</x:v>
      </x:c>
      <x:c r="F8" s="63" t="str">
        <x:v>/index.html#loginBtn</x:v>
      </x:c>
      <x:c r="G8" s="63" t="str">
        <x:v>NIP-07 present or absent</x:v>
      </x:c>
      <x:c r="H8" s="63" t="str">
        <x:v>Click sign in; inspect success/failure; sign out</x:v>
      </x:c>
      <x:c r="I8" s="63" t="str">
        <x:v>RUN-006 automated suite + RUN-008/009/010 browser evidence</x:v>
      </x:c>
      <x:c r="J8" s="63" t="str">
        <x:v>Not Run</x:v>
      </x:c>
      <x:c r="K8" s="63" t="str">
        <x:v>Pass</x:v>
      </x:c>
      <x:c r="L8" s="64" t="n">
        <x:v>46254.02847222222</x:v>
      </x:c>
      <x:c r="M8" s="63" t="str"/>
      <x:c r="N8" s="63" t="str">
        <x:v>Verified on final branch b1fd2bf</x:v>
      </x:c>
      <x:c r="O8" s="63" t="str">
        <x:v>site/index.html:657</x:v>
      </x:c>
    </x:row>
    <x:row r="9" ht="21.600000381469727" hidden="0" customHeight="1">
      <x:c r="A9" s="63" t="str">
        <x:v>US-004</x:v>
      </x:c>
      <x:c r="B9" s="63" t="str">
        <x:v>Onboarding</x:v>
      </x:c>
      <x:c r="C9" s="63" t="str">
        <x:v>New player</x:v>
      </x:c>
      <x:c r="D9" s="63" t="str">
        <x:v>As a new player, I can read the five-minute quick start.</x:v>
      </x:c>
      <x:c r="E9" s="63" t="str">
        <x:v>The guide loads with objective, phases, resources, clash, card examples, and working deep links.</x:v>
      </x:c>
      <x:c r="F9" s="63" t="str">
        <x:v>/quickstart.html</x:v>
      </x:c>
      <x:c r="G9" s="63" t="str">
        <x:v>None</x:v>
      </x:c>
      <x:c r="H9" s="63" t="str">
        <x:v>Open page and follow representative anchors</x:v>
      </x:c>
      <x:c r="I9" s="63" t="str">
        <x:v>RUN-006 automated suite + RUN-008/009/010 browser evidence</x:v>
      </x:c>
      <x:c r="J9" s="63" t="str">
        <x:v>Pass</x:v>
      </x:c>
      <x:c r="K9" s="63" t="str">
        <x:v>Pass</x:v>
      </x:c>
      <x:c r="L9" s="64" t="n">
        <x:v>46254.02847222222</x:v>
      </x:c>
      <x:c r="M9" s="63" t="str"/>
      <x:c r="N9" s="63" t="str">
        <x:v>Verified on final branch b1fd2bf</x:v>
      </x:c>
      <x:c r="O9" s="63" t="str">
        <x:v>site/quickstart.html:200</x:v>
      </x:c>
    </x:row>
    <x:row r="10" ht="21.600000381469727" hidden="0" customHeight="1">
      <x:c r="A10" s="63" t="str">
        <x:v>US-005</x:v>
      </x:c>
      <x:c r="B10" s="63" t="str">
        <x:v>Navigation</x:v>
      </x:c>
      <x:c r="C10" s="63" t="str">
        <x:v>Returning visitor</x:v>
      </x:c>
      <x:c r="D10" s="63" t="str">
        <x:v>As a visitor using the old Arena URL, I reach the live table.</x:v>
      </x:c>
      <x:c r="E10" s="63" t="str">
        <x:v>The retired page explains the move and automatically or explicitly navigates to play.html.</x:v>
      </x:c>
      <x:c r="F10" s="63" t="str">
        <x:v>/arena.html</x:v>
      </x:c>
      <x:c r="G10" s="63" t="str">
        <x:v>None</x:v>
      </x:c>
      <x:c r="H10" s="63" t="str">
        <x:v>Open page; verify redirect/countdown and CTA</x:v>
      </x:c>
      <x:c r="I10" s="63" t="str">
        <x:v>RUN-006 automated suite + RUN-008/009/010 browser evidence</x:v>
      </x:c>
      <x:c r="J10" s="63" t="str">
        <x:v>Not Run</x:v>
      </x:c>
      <x:c r="K10" s="63" t="str">
        <x:v>Pass</x:v>
      </x:c>
      <x:c r="L10" s="64" t="n">
        <x:v>46254.02847222222</x:v>
      </x:c>
      <x:c r="M10" s="63" t="str"/>
      <x:c r="N10" s="63" t="str">
        <x:v>Verified on final branch b1fd2bf</x:v>
      </x:c>
      <x:c r="O10" s="63" t="str">
        <x:v>site/arena.html:95</x:v>
      </x:c>
    </x:row>
    <x:row r="11" ht="21.600000381469727" hidden="0" customHeight="1">
      <x:c r="A11" s="63" t="str">
        <x:v>US-006</x:v>
      </x:c>
      <x:c r="B11" s="63" t="str">
        <x:v>Lore</x:v>
      </x:c>
      <x:c r="C11" s="63" t="str">
        <x:v>Visitor</x:v>
      </x:c>
      <x:c r="D11" s="63" t="str">
        <x:v>As a visitor, I can read lore and see representative cards/resources.</x:v>
      </x:c>
      <x:c r="E11" s="63" t="str">
        <x:v>Lore page loads its world sections, images, resource icons, and links without broken assets.</x:v>
      </x:c>
      <x:c r="F11" s="63" t="str">
        <x:v>/lore.html</x:v>
      </x:c>
      <x:c r="G11" s="63" t="str">
        <x:v>Running server</x:v>
      </x:c>
      <x:c r="H11" s="63" t="str">
        <x:v>Open; scroll through page; check images</x:v>
      </x:c>
      <x:c r="I11" s="63" t="str">
        <x:v>RUN-006 automated suite + RUN-008/009/010 browser evidence</x:v>
      </x:c>
      <x:c r="J11" s="63" t="str">
        <x:v>Pass</x:v>
      </x:c>
      <x:c r="K11" s="63" t="str">
        <x:v>Pass</x:v>
      </x:c>
      <x:c r="L11" s="64" t="n">
        <x:v>46254.02847222222</x:v>
      </x:c>
      <x:c r="M11" s="63" t="str"/>
      <x:c r="N11" s="63" t="str">
        <x:v>Verified on final branch b1fd2bf</x:v>
      </x:c>
      <x:c r="O11" s="63" t="str">
        <x:v>site/lore.html:171</x:v>
      </x:c>
    </x:row>
    <x:row r="12" ht="21.600000381469727" hidden="0" customHeight="1">
      <x:c r="A12" s="63" t="str">
        <x:v>US-007</x:v>
      </x:c>
      <x:c r="B12" s="63" t="str">
        <x:v>Proof sheet</x:v>
      </x:c>
      <x:c r="C12" s="63" t="str">
        <x:v>Designer</x:v>
      </x:c>
      <x:c r="D12" s="63" t="str">
        <x:v>As a designer, I can inspect the Node Runner proof sheet.</x:v>
      </x:c>
      <x:c r="E12" s="63" t="str">
        <x:v>The proof sheet loads all grouped cards and card back with readable faces and resource icons.</x:v>
      </x:c>
      <x:c r="F12" s="63" t="str">
        <x:v>/e1-card-set.html</x:v>
      </x:c>
      <x:c r="G12" s="63" t="str">
        <x:v>Tracked art present</x:v>
      </x:c>
      <x:c r="H12" s="63" t="str">
        <x:v>Open; scroll; sample image dimensions/errors</x:v>
      </x:c>
      <x:c r="I12" s="63" t="str">
        <x:v>RUN-006 automated suite + RUN-008/009/010 browser evidence</x:v>
      </x:c>
      <x:c r="J12" s="63" t="str">
        <x:v>Not Run</x:v>
      </x:c>
      <x:c r="K12" s="63" t="str">
        <x:v>Pass</x:v>
      </x:c>
      <x:c r="L12" s="64" t="n">
        <x:v>46254.02847222222</x:v>
      </x:c>
      <x:c r="M12" s="63" t="str"/>
      <x:c r="N12" s="63" t="str">
        <x:v>Verified on final branch b1fd2bf</x:v>
      </x:c>
      <x:c r="O12" s="63" t="str">
        <x:v>site/e1-card-set.html:180</x:v>
      </x:c>
    </x:row>
    <x:row r="13" ht="21.600000381469727" hidden="0" customHeight="1">
      <x:c r="A13" s="63" t="str">
        <x:v>US-008</x:v>
      </x:c>
      <x:c r="B13" s="63" t="str">
        <x:v>FX harness</x:v>
      </x:c>
      <x:c r="C13" s="63" t="str">
        <x:v>Developer</x:v>
      </x:c>
      <x:c r="D13" s="63" t="str">
        <x:v>As a developer, I can exercise visual game effects.</x:v>
      </x:c>
      <x:c r="E13" s="63" t="str">
        <x:v>Parameter controls trigger scripted turn, stress sequence, stop, continue, end turn, and toggles without uncaught errors.</x:v>
      </x:c>
      <x:c r="F13" s="63" t="str">
        <x:v>/fx-demo.html</x:v>
      </x:c>
      <x:c r="G13" s="63" t="str">
        <x:v>Running server</x:v>
      </x:c>
      <x:c r="H13" s="63" t="str">
        <x:v>Run each harness control</x:v>
      </x:c>
      <x:c r="I13" s="63" t="str">
        <x:v>RUN-006 automated suite + RUN-008/009/010 browser evidence</x:v>
      </x:c>
      <x:c r="J13" s="63" t="str">
        <x:v>Not Run</x:v>
      </x:c>
      <x:c r="K13" s="63" t="str">
        <x:v>Pass</x:v>
      </x:c>
      <x:c r="L13" s="64" t="n">
        <x:v>46254.02847222222</x:v>
      </x:c>
      <x:c r="M13" s="63" t="str"/>
      <x:c r="N13" s="63" t="str">
        <x:v>Verified on final branch b1fd2bf</x:v>
      </x:c>
      <x:c r="O13" s="63" t="str">
        <x:v>site/fx-demo.html:1</x:v>
      </x:c>
    </x:row>
    <x:row r="14" ht="21.600000381469727" hidden="0" customHeight="1">
      <x:c r="A14" s="63" t="str">
        <x:v>US-010</x:v>
      </x:c>
      <x:c r="B14" s="63" t="str">
        <x:v>Card gallery</x:v>
      </x:c>
      <x:c r="C14" s="63" t="str">
        <x:v>Collector</x:v>
      </x:c>
      <x:c r="D14" s="63" t="str">
        <x:v>As a collector, I can browse every catalog card.</x:v>
      </x:c>
      <x:c r="E14" s="63" t="str">
        <x:v>Gallery renders 295 Edition One cards plus the promo and reports 296 cards.</x:v>
      </x:c>
      <x:c r="F14" s="63" t="str">
        <x:v>/cards.html</x:v>
      </x:c>
      <x:c r="G14" s="63" t="str">
        <x:v>Catalog scripts loaded</x:v>
      </x:c>
      <x:c r="H14" s="63" t="str">
        <x:v>Open and compare count/text</x:v>
      </x:c>
      <x:c r="I14" s="63" t="str">
        <x:v>RUN-006 automated suite + RUN-008/009/010 browser evidence</x:v>
      </x:c>
      <x:c r="J14" s="63" t="str">
        <x:v>Pass</x:v>
      </x:c>
      <x:c r="K14" s="63" t="str">
        <x:v>Pass</x:v>
      </x:c>
      <x:c r="L14" s="64" t="n">
        <x:v>46254.02847222222</x:v>
      </x:c>
      <x:c r="M14" s="63" t="str"/>
      <x:c r="N14" s="63" t="str">
        <x:v>Verified on final branch b1fd2bf</x:v>
      </x:c>
      <x:c r="O14" s="63" t="str">
        <x:v>site/cards.html:514</x:v>
      </x:c>
    </x:row>
    <x:row r="15" ht="21.600000381469727" hidden="0" customHeight="1">
      <x:c r="A15" s="63" t="str">
        <x:v>US-011</x:v>
      </x:c>
      <x:c r="B15" s="63" t="str">
        <x:v>Card gallery</x:v>
      </x:c>
      <x:c r="C15" s="63" t="str">
        <x:v>Collector</x:v>
      </x:c>
      <x:c r="D15" s="63" t="str">
        <x:v>As a collector, I can search cards.</x:v>
      </x:c>
      <x:c r="E15" s="63" t="str">
        <x:v>Name, ID, rules, flavour, and tag queries narrow results and show an empty state when nothing matches.</x:v>
      </x:c>
      <x:c r="F15" s="63" t="str">
        <x:v>/cards.html#search</x:v>
      </x:c>
      <x:c r="G15" s="63" t="str">
        <x:v>Gallery loaded</x:v>
      </x:c>
      <x:c r="H15" s="63" t="str">
        <x:v>Search known name, rules term, and nonsense</x:v>
      </x:c>
      <x:c r="I15" s="63" t="str">
        <x:v>RUN-006 automated suite + RUN-008/009/010 browser evidence</x:v>
      </x:c>
      <x:c r="J15" s="63" t="str">
        <x:v>Not Run</x:v>
      </x:c>
      <x:c r="K15" s="63" t="str">
        <x:v>Pass</x:v>
      </x:c>
      <x:c r="L15" s="64" t="n">
        <x:v>46254.02847222222</x:v>
      </x:c>
      <x:c r="M15" s="63" t="str"/>
      <x:c r="N15" s="63" t="str">
        <x:v>Verified on final branch b1fd2bf</x:v>
      </x:c>
      <x:c r="O15" s="63" t="str">
        <x:v>site/cards.html:1188</x:v>
      </x:c>
    </x:row>
    <x:row r="16" ht="21.600000381469727" hidden="0" customHeight="1">
      <x:c r="A16" s="63" t="str">
        <x:v>US-012</x:v>
      </x:c>
      <x:c r="B16" s="63" t="str">
        <x:v>Card gallery</x:v>
      </x:c>
      <x:c r="C16" s="63" t="str">
        <x:v>Collector</x:v>
      </x:c>
      <x:c r="D16" s="63" t="str">
        <x:v>As a collector, I can combine type, cost, rarity, printing, and affinity filters.</x:v>
      </x:c>
      <x:c r="E16" s="63" t="str">
        <x:v>Every filter updates the gallery/count; clear restores all cards; affinity chips expose pressed state.</x:v>
      </x:c>
      <x:c r="F16" s="63" t="str">
        <x:v>/cards.html</x:v>
      </x:c>
      <x:c r="G16" s="63" t="str">
        <x:v>Gallery loaded</x:v>
      </x:c>
      <x:c r="H16" s="63" t="str">
        <x:v>Exercise each filter and combined filters</x:v>
      </x:c>
      <x:c r="I16" s="63" t="str">
        <x:v>RUN-006 automated suite + RUN-008/009/010 browser evidence</x:v>
      </x:c>
      <x:c r="J16" s="63" t="str">
        <x:v>Not Run</x:v>
      </x:c>
      <x:c r="K16" s="63" t="str">
        <x:v>Pass</x:v>
      </x:c>
      <x:c r="L16" s="64" t="n">
        <x:v>46254.02847222222</x:v>
      </x:c>
      <x:c r="M16" s="63" t="str"/>
      <x:c r="N16" s="63" t="str">
        <x:v>Verified on final branch b1fd2bf</x:v>
      </x:c>
      <x:c r="O16" s="63" t="str">
        <x:v>site/cards.html:1193</x:v>
      </x:c>
    </x:row>
    <x:row r="17" ht="21.600000381469727" hidden="0" customHeight="1">
      <x:c r="A17" s="63" t="str">
        <x:v>US-013</x:v>
      </x:c>
      <x:c r="B17" s="63" t="str">
        <x:v>Card gallery</x:v>
      </x:c>
      <x:c r="C17" s="63" t="str">
        <x:v>Collector</x:v>
      </x:c>
      <x:c r="D17" s="63" t="str">
        <x:v>As a collector, I can sort the catalog.</x:v>
      </x:c>
      <x:c r="E17" s="63" t="str">
        <x:v>Set number, name, cost, and rarity orders deterministically reorder cards.</x:v>
      </x:c>
      <x:c r="F17" s="63" t="str">
        <x:v>/cards.html#sortOrder</x:v>
      </x:c>
      <x:c r="G17" s="63" t="str">
        <x:v>Gallery loaded</x:v>
      </x:c>
      <x:c r="H17" s="63" t="str">
        <x:v>Select each sort and inspect first/last cards</x:v>
      </x:c>
      <x:c r="I17" s="63" t="str">
        <x:v>RUN-006 automated suite + RUN-008/009/010 browser evidence</x:v>
      </x:c>
      <x:c r="J17" s="63" t="str">
        <x:v>Not Run</x:v>
      </x:c>
      <x:c r="K17" s="63" t="str">
        <x:v>Pass</x:v>
      </x:c>
      <x:c r="L17" s="64" t="n">
        <x:v>46254.02847222222</x:v>
      </x:c>
      <x:c r="M17" s="63" t="str"/>
      <x:c r="N17" s="63" t="str">
        <x:v>Verified on final branch b1fd2bf</x:v>
      </x:c>
      <x:c r="O17" s="63" t="str">
        <x:v>site/cards.html:1193</x:v>
      </x:c>
    </x:row>
    <x:row r="18" ht="21.600000381469727" hidden="0" customHeight="1">
      <x:c r="A18" s="63" t="str">
        <x:v>US-014</x:v>
      </x:c>
      <x:c r="B18" s="63" t="str">
        <x:v>Card gallery</x:v>
      </x:c>
      <x:c r="C18" s="63" t="str">
        <x:v>Collector</x:v>
      </x:c>
      <x:c r="D18" s="63" t="str">
        <x:v>As a collector, I can switch between face and text cards.</x:v>
      </x:c>
      <x:c r="E18" s="63" t="str">
        <x:v>The toggle changes card rendering and its accessible pressed state without losing filters.</x:v>
      </x:c>
      <x:c r="F18" s="63" t="str">
        <x:v>/cards.html#faceToggle</x:v>
      </x:c>
      <x:c r="G18" s="63" t="str">
        <x:v>Gallery loaded</x:v>
      </x:c>
      <x:c r="H18" s="63" t="str">
        <x:v>Toggle twice while filtered</x:v>
      </x:c>
      <x:c r="I18" s="63" t="str">
        <x:v>RUN-006 automated suite + RUN-008/009/010 browser evidence</x:v>
      </x:c>
      <x:c r="J18" s="63" t="str">
        <x:v>Not Run</x:v>
      </x:c>
      <x:c r="K18" s="63" t="str">
        <x:v>Pass</x:v>
      </x:c>
      <x:c r="L18" s="64" t="n">
        <x:v>46254.02847222222</x:v>
      </x:c>
      <x:c r="M18" s="63" t="str"/>
      <x:c r="N18" s="63" t="str">
        <x:v>Verified on final branch b1fd2bf</x:v>
      </x:c>
      <x:c r="O18" s="63" t="str">
        <x:v>site/cards.html:1209</x:v>
      </x:c>
    </x:row>
    <x:row r="19" ht="21.600000381469727" hidden="0" customHeight="1">
      <x:c r="A19" s="63" t="str">
        <x:v>US-015</x:v>
      </x:c>
      <x:c r="B19" s="63" t="str">
        <x:v>Card gallery</x:v>
      </x:c>
      <x:c r="C19" s="63" t="str">
        <x:v>Collector</x:v>
      </x:c>
      <x:c r="D19" s="63" t="str">
        <x:v>As a collector, I can inspect full card details.</x:v>
      </x:c>
      <x:c r="E19" s="63" t="str">
        <x:v>Activating a card opens a modal with art, metadata, rules, flavour, guide, note, source, face link, and close behavior.</x:v>
      </x:c>
      <x:c r="F19" s="63" t="str">
        <x:v>/cards.html#cardDialog</x:v>
      </x:c>
      <x:c r="G19" s="63" t="str">
        <x:v>Gallery loaded</x:v>
      </x:c>
      <x:c r="H19" s="63" t="str">
        <x:v>Open first card; verify fields; close by button/backdrop/Escape</x:v>
      </x:c>
      <x:c r="I19" s="63" t="str">
        <x:v>RUN-006 automated suite + RUN-008/009/010 browser evidence</x:v>
      </x:c>
      <x:c r="J19" s="63" t="str">
        <x:v>Not Run</x:v>
      </x:c>
      <x:c r="K19" s="63" t="str">
        <x:v>Pass</x:v>
      </x:c>
      <x:c r="L19" s="64" t="n">
        <x:v>46254.02847222222</x:v>
      </x:c>
      <x:c r="M19" s="63" t="str"/>
      <x:c r="N19" s="63" t="str">
        <x:v>Verified on final branch b1fd2bf</x:v>
      </x:c>
      <x:c r="O19" s="63" t="str">
        <x:v>site/cards.html:530</x:v>
      </x:c>
    </x:row>
    <x:row r="20" ht="21.600000381469727" hidden="0" customHeight="1">
      <x:c r="A20" s="63" t="str">
        <x:v>US-016</x:v>
      </x:c>
      <x:c r="B20" s="63" t="str">
        <x:v>Card gallery</x:v>
      </x:c>
      <x:c r="C20" s="63" t="str">
        <x:v>Collector</x:v>
      </x:c>
      <x:c r="D20" s="63" t="str">
        <x:v>As a collector, I can deep-link and copy a card URL.</x:v>
      </x:c>
      <x:c r="E20" s="63" t="str">
        <x:v>A card hash opens the matching card and Copy link puts a stable URL on the clipboard or selects it for manual copy.</x:v>
      </x:c>
      <x:c r="F20" s="63" t="str">
        <x:v>/cards.html#E1-001</x:v>
      </x:c>
      <x:c r="G20" s="63" t="str">
        <x:v>Clipboard optional</x:v>
      </x:c>
      <x:c r="H20" s="63" t="str">
        <x:v>Open deep link and activate Copy link</x:v>
      </x:c>
      <x:c r="I20" s="63" t="str">
        <x:v>RUN-006 automated suite + RUN-008/009/010 browser evidence</x:v>
      </x:c>
      <x:c r="J20" s="63" t="str">
        <x:v>Not Run</x:v>
      </x:c>
      <x:c r="K20" s="63" t="str">
        <x:v>Pass</x:v>
      </x:c>
      <x:c r="L20" s="64" t="n">
        <x:v>46254.02847222222</x:v>
      </x:c>
      <x:c r="M20" s="63" t="str"/>
      <x:c r="N20" s="63" t="str">
        <x:v>Verified on final branch b1fd2bf</x:v>
      </x:c>
      <x:c r="O20" s="63" t="str">
        <x:v>site/cards.html:1213</x:v>
      </x:c>
    </x:row>
    <x:row r="21" ht="21.600000381469727" hidden="0" customHeight="1">
      <x:c r="A21" s="63" t="str">
        <x:v>US-017</x:v>
      </x:c>
      <x:c r="B21" s="63" t="str">
        <x:v>Card gallery</x:v>
      </x:c>
      <x:c r="C21" s="63" t="str">
        <x:v>Mouse/touch user</x:v>
      </x:c>
      <x:c r="D21" s="63" t="str">
        <x:v>As a collector, I can open a card action menu with mouse or touch.</x:v>
      </x:c>
      <x:c r="E21" s="63" t="str">
        <x:v>More, right-click, and long-press expose equivalent card actions and dismiss predictably.</x:v>
      </x:c>
      <x:c r="F21" s="63" t="str">
        <x:v>/cards.html</x:v>
      </x:c>
      <x:c r="G21" s="63" t="str">
        <x:v>Pointer-capable browser</x:v>
      </x:c>
      <x:c r="H21" s="63" t="str">
        <x:v>Use More, context menu, and long press</x:v>
      </x:c>
      <x:c r="I21" s="63" t="str">
        <x:v>RUN-006 automated suite + RUN-008/009/010 browser evidence</x:v>
      </x:c>
      <x:c r="J21" s="63" t="str">
        <x:v>Not Run</x:v>
      </x:c>
      <x:c r="K21" s="63" t="str">
        <x:v>Pass</x:v>
      </x:c>
      <x:c r="L21" s="64" t="n">
        <x:v>46254.02847222222</x:v>
      </x:c>
      <x:c r="M21" s="63" t="str"/>
      <x:c r="N21" s="63" t="str">
        <x:v>Verified on final branch b1fd2bf</x:v>
      </x:c>
      <x:c r="O21" s="63" t="str">
        <x:v>site/cards.html:819</x:v>
      </x:c>
    </x:row>
    <x:row r="22" ht="21.600000381469727" hidden="0" customHeight="1">
      <x:c r="A22" s="63" t="str">
        <x:v>US-020</x:v>
      </x:c>
      <x:c r="B22" s="63" t="str">
        <x:v>Stack Builder</x:v>
      </x:c>
      <x:c r="C22" s="63" t="str">
        <x:v>Deck builder</x:v>
      </x:c>
      <x:c r="D22" s="63" t="str">
        <x:v>As a player, I can browse the full legal card pool while building.</x:v>
      </x:c>
      <x:c r="E22" s="63" t="str">
        <x:v>Builder loads all playable cards, search/sort and affinity/type/cost/rarity filters, result counts, and clear controls.</x:v>
      </x:c>
      <x:c r="F22" s="63" t="str">
        <x:v>/deck.html</x:v>
      </x:c>
      <x:c r="G22" s="63" t="str">
        <x:v>Catalog scripts loaded</x:v>
      </x:c>
      <x:c r="H22" s="63" t="str">
        <x:v>Exercise search, sort, all filter groups, and clear</x:v>
      </x:c>
      <x:c r="I22" s="63" t="str">
        <x:v>RUN-006 automated suite + RUN-008/009/010 browser evidence</x:v>
      </x:c>
      <x:c r="J22" s="63" t="str">
        <x:v>Not Run</x:v>
      </x:c>
      <x:c r="K22" s="63" t="str">
        <x:v>Pass</x:v>
      </x:c>
      <x:c r="L22" s="64" t="n">
        <x:v>46254.02847222222</x:v>
      </x:c>
      <x:c r="M22" s="63" t="str"/>
      <x:c r="N22" s="63" t="str">
        <x:v>Verified on final branch b1fd2bf</x:v>
      </x:c>
      <x:c r="O22" s="63" t="str">
        <x:v>site/deck.html:539</x:v>
      </x:c>
    </x:row>
    <x:row r="23" ht="21.600000381469727" hidden="0" customHeight="1">
      <x:c r="A23" s="63" t="str">
        <x:v>US-021</x:v>
      </x:c>
      <x:c r="B23" s="63" t="str">
        <x:v>Stack Builder</x:v>
      </x:c>
      <x:c r="C23" s="63" t="str">
        <x:v>Deck builder</x:v>
      </x:c>
      <x:c r="D23" s="63" t="str">
        <x:v>As a player, I can add and remove card copies.</x:v>
      </x:c>
      <x:c r="E23" s="63" t="str">
        <x:v>Click/keyboard/add buttons increment; minus/remove decrements; list quantities and total update consistently.</x:v>
      </x:c>
      <x:c r="F23" s="63" t="str">
        <x:v>/deck.html</x:v>
      </x:c>
      <x:c r="G23" s="63" t="str">
        <x:v>Builder loaded</x:v>
      </x:c>
      <x:c r="H23" s="63" t="str">
        <x:v>Add/remove from grid, list, and dialog</x:v>
      </x:c>
      <x:c r="I23" s="63" t="str">
        <x:v>RUN-006 automated suite + RUN-008/009/010 browser evidence</x:v>
      </x:c>
      <x:c r="J23" s="63" t="str">
        <x:v>Not Run</x:v>
      </x:c>
      <x:c r="K23" s="63" t="str">
        <x:v>Pass</x:v>
      </x:c>
      <x:c r="L23" s="64" t="n">
        <x:v>46254.02847222222</x:v>
      </x:c>
      <x:c r="M23" s="63" t="str"/>
      <x:c r="N23" s="63" t="str">
        <x:v>Verified on final branch b1fd2bf</x:v>
      </x:c>
      <x:c r="O23" s="63" t="str">
        <x:v>site/deck.html:742</x:v>
      </x:c>
    </x:row>
    <x:row r="24" ht="21.600000381469727" hidden="0" customHeight="1">
      <x:c r="A24" s="63" t="str">
        <x:v>US-022</x:v>
      </x:c>
      <x:c r="B24" s="63" t="str">
        <x:v>Stack Builder</x:v>
      </x:c>
      <x:c r="C24" s="63" t="str">
        <x:v>Deck builder</x:v>
      </x:c>
      <x:c r="D24" s="63" t="str">
        <x:v>As a player, I can filter to cards already in my Stack.</x:v>
      </x:c>
      <x:c r="E24" s="63" t="str">
        <x:v>In Stack becomes available after adding cards and shows only current members.</x:v>
      </x:c>
      <x:c r="F24" s="63" t="str">
        <x:v>/deck.html#inStackChip</x:v>
      </x:c>
      <x:c r="G24" s="63" t="str">
        <x:v>At least one card added</x:v>
      </x:c>
      <x:c r="H24" s="63" t="str">
        <x:v>Toggle In Stack; clear/remove last card</x:v>
      </x:c>
      <x:c r="I24" s="63" t="str">
        <x:v>RUN-006 automated suite + RUN-008/009/010 browser evidence</x:v>
      </x:c>
      <x:c r="J24" s="63" t="str">
        <x:v>Not Run</x:v>
      </x:c>
      <x:c r="K24" s="63" t="str">
        <x:v>Pass</x:v>
      </x:c>
      <x:c r="L24" s="64" t="n">
        <x:v>46254.02847222222</x:v>
      </x:c>
      <x:c r="M24" s="63" t="str"/>
      <x:c r="N24" s="63" t="str">
        <x:v>Verified on final branch b1fd2bf</x:v>
      </x:c>
      <x:c r="O24" s="63" t="str">
        <x:v>site/deck.html:587</x:v>
      </x:c>
    </x:row>
    <x:row r="25" ht="21.600000381469727" hidden="0" customHeight="1">
      <x:c r="A25" s="63" t="str">
        <x:v>US-023</x:v>
      </x:c>
      <x:c r="B25" s="63" t="str">
        <x:v>Stack Builder</x:v>
      </x:c>
      <x:c r="C25" s="63" t="str">
        <x:v>Deck builder</x:v>
      </x:c>
      <x:c r="D25" s="63" t="str">
        <x:v>As a player, I get legal Stack feedback.</x:v>
      </x:c>
      <x:c r="E25" s="63" t="str">
        <x:v>Progress, affinity, module/copy constraints, and play readiness reflect the actual list; invalid stacks are not presented as playable.</x:v>
      </x:c>
      <x:c r="F25" s="63" t="str">
        <x:v>/deck.html</x:v>
      </x:c>
      <x:c r="G25" s="63" t="str">
        <x:v>Cards added</x:v>
      </x:c>
      <x:c r="H25" s="63" t="str">
        <x:v>Build invalid and valid 40-card lists</x:v>
      </x:c>
      <x:c r="I25" s="63" t="str">
        <x:v>RUN-006 automated suite + RUN-008/009/010 browser evidence</x:v>
      </x:c>
      <x:c r="J25" s="63" t="str">
        <x:v>Not Run</x:v>
      </x:c>
      <x:c r="K25" s="63" t="str">
        <x:v>Pass</x:v>
      </x:c>
      <x:c r="L25" s="64" t="n">
        <x:v>46254.02847222222</x:v>
      </x:c>
      <x:c r="M25" s="63" t="str"/>
      <x:c r="N25" s="63" t="str">
        <x:v>Verified on final branch b1fd2bf</x:v>
      </x:c>
      <x:c r="O25" s="63" t="str">
        <x:v>site/deck.html:797</x:v>
      </x:c>
    </x:row>
    <x:row r="26" ht="21.600000381469727" hidden="0" customHeight="1">
      <x:c r="A26" s="63" t="str">
        <x:v>US-024</x:v>
      </x:c>
      <x:c r="B26" s="63" t="str">
        <x:v>Stack Builder</x:v>
      </x:c>
      <x:c r="C26" s="63" t="str">
        <x:v>Deck builder</x:v>
      </x:c>
      <x:c r="D26" s="63" t="str">
        <x:v>As a player, I can save a named Stack.</x:v>
      </x:c>
      <x:c r="E26" s="63" t="str">
        <x:v>Save persists a valid named list under 600b:decks and shows it in Saved stacks.</x:v>
      </x:c>
      <x:c r="F26" s="63" t="str">
        <x:v>/deck.html#save</x:v>
      </x:c>
      <x:c r="G26" s="63" t="str">
        <x:v>Valid name/list; storage available</x:v>
      </x:c>
      <x:c r="H26" s="63" t="str">
        <x:v>Save and reload page</x:v>
      </x:c>
      <x:c r="I26" s="63" t="str">
        <x:v>RUN-006 automated suite + RUN-008/009/010 browser evidence</x:v>
      </x:c>
      <x:c r="J26" s="63" t="str">
        <x:v>Not Run</x:v>
      </x:c>
      <x:c r="K26" s="63" t="str">
        <x:v>Pass</x:v>
      </x:c>
      <x:c r="L26" s="64" t="n">
        <x:v>46254.02847222222</x:v>
      </x:c>
      <x:c r="M26" s="63" t="str"/>
      <x:c r="N26" s="63" t="str">
        <x:v>Verified on final branch b1fd2bf</x:v>
      </x:c>
      <x:c r="O26" s="63" t="str">
        <x:v>site/deck.html:1056</x:v>
      </x:c>
    </x:row>
    <x:row r="27" ht="21.600000381469727" hidden="0" customHeight="1">
      <x:c r="A27" s="63" t="str">
        <x:v>US-025</x:v>
      </x:c>
      <x:c r="B27" s="63" t="str">
        <x:v>Stack Builder</x:v>
      </x:c>
      <x:c r="C27" s="63" t="str">
        <x:v>Deck builder</x:v>
      </x:c>
      <x:c r="D27" s="63" t="str">
        <x:v>As a player, I can load and delete saved Stacks.</x:v>
      </x:c>
      <x:c r="E27" s="63" t="str">
        <x:v>Load restores exact cards/name; delete removes the selected saved entry without damaging others.</x:v>
      </x:c>
      <x:c r="F27" s="63" t="str">
        <x:v>/deck.html</x:v>
      </x:c>
      <x:c r="G27" s="63" t="str">
        <x:v>Saved Stack exists</x:v>
      </x:c>
      <x:c r="H27" s="63" t="str">
        <x:v>Load, compare, delete, reload</x:v>
      </x:c>
      <x:c r="I27" s="63" t="str">
        <x:v>RUN-006 automated suite + RUN-008/009/010 browser evidence</x:v>
      </x:c>
      <x:c r="J27" s="63" t="str">
        <x:v>Not Run</x:v>
      </x:c>
      <x:c r="K27" s="63" t="str">
        <x:v>Pass</x:v>
      </x:c>
      <x:c r="L27" s="64" t="n">
        <x:v>46254.02847222222</x:v>
      </x:c>
      <x:c r="M27" s="63" t="str"/>
      <x:c r="N27" s="63" t="str">
        <x:v>Verified on final branch b1fd2bf</x:v>
      </x:c>
      <x:c r="O27" s="63" t="str">
        <x:v>site/deck.html:1036</x:v>
      </x:c>
    </x:row>
    <x:row r="28" ht="21.600000381469727" hidden="0" customHeight="1">
      <x:c r="A28" s="63" t="str">
        <x:v>US-026</x:v>
      </x:c>
      <x:c r="B28" s="63" t="str">
        <x:v>Stack Builder</x:v>
      </x:c>
      <x:c r="C28" s="63" t="str">
        <x:v>New player</x:v>
      </x:c>
      <x:c r="D28" s="63" t="str">
        <x:v>As a player, I can load one of eleven preconstructed Stacks.</x:v>
      </x:c>
      <x:c r="E28" s="63" t="str">
        <x:v>Every starter/classic loads 40 legal scripted cards and can start a game.</x:v>
      </x:c>
      <x:c r="F28" s="63" t="str">
        <x:v>/deck.html</x:v>
      </x:c>
      <x:c r="G28" s="63" t="str">
        <x:v>Precons loaded</x:v>
      </x:c>
      <x:c r="H28" s="63" t="str">
        <x:v>Load each starter; spot-check total/validity</x:v>
      </x:c>
      <x:c r="I28" s="63" t="str">
        <x:v>RUN-006 automated suite + RUN-008/009/010 browser evidence</x:v>
      </x:c>
      <x:c r="J28" s="63" t="str">
        <x:v>Not Run</x:v>
      </x:c>
      <x:c r="K28" s="63" t="str">
        <x:v>Pass</x:v>
      </x:c>
      <x:c r="L28" s="64" t="n">
        <x:v>46254.02847222222</x:v>
      </x:c>
      <x:c r="M28" s="63" t="str"/>
      <x:c r="N28" s="63" t="str">
        <x:v>Verified on final branch b1fd2bf</x:v>
      </x:c>
      <x:c r="O28" s="63" t="str">
        <x:v>site/deck.html:1103</x:v>
      </x:c>
    </x:row>
    <x:row r="29" ht="21.600000381469727" hidden="0" customHeight="1">
      <x:c r="A29" s="63" t="str">
        <x:v>US-027</x:v>
      </x:c>
      <x:c r="B29" s="63" t="str">
        <x:v>Stack Builder</x:v>
      </x:c>
      <x:c r="C29" s="63" t="str">
        <x:v>Returning player</x:v>
      </x:c>
      <x:c r="D29" s="63" t="str">
        <x:v>As a player, I can open a Stack via URL or cross-page handoff.</x:v>
      </x:c>
      <x:c r="E29" s="63" t="str">
        <x:v>?load= resolves saved/precon names; 600b:deck-handoff imports the shop selection once and clears the handoff.</x:v>
      </x:c>
      <x:c r="F29" s="63" t="str">
        <x:v>/deck.html?load=...</x:v>
      </x:c>
      <x:c r="G29" s="63" t="str">
        <x:v>Saved/precon/handoff exists</x:v>
      </x:c>
      <x:c r="H29" s="63" t="str">
        <x:v>Exercise both entry paths</x:v>
      </x:c>
      <x:c r="I29" s="63" t="str">
        <x:v>RUN-006 automated suite + RUN-008/009/010 browser evidence</x:v>
      </x:c>
      <x:c r="J29" s="63" t="str">
        <x:v>Not Run</x:v>
      </x:c>
      <x:c r="K29" s="63" t="str">
        <x:v>Pass</x:v>
      </x:c>
      <x:c r="L29" s="64" t="n">
        <x:v>46254.02847222222</x:v>
      </x:c>
      <x:c r="M29" s="63" t="str"/>
      <x:c r="N29" s="63" t="str">
        <x:v>Verified on final branch b1fd2bf</x:v>
      </x:c>
      <x:c r="O29" s="63" t="str">
        <x:v>site/deck.html:341</x:v>
      </x:c>
    </x:row>
    <x:row r="30" ht="21.600000381469727" hidden="0" customHeight="1">
      <x:c r="A30" s="63" t="str">
        <x:v>US-028</x:v>
      </x:c>
      <x:c r="B30" s="63" t="str">
        <x:v>Stack Builder</x:v>
      </x:c>
      <x:c r="C30" s="63" t="str">
        <x:v>NutFT owner</x:v>
      </x:c>
      <x:c r="D30" s="63" t="str">
        <x:v>As a player, I can build only from verified unspent NutFT cards I control.</x:v>
      </x:c>
      <x:c r="E30" s="63" t="str">
        <x:v>NutFT mode reads wallet proofs, verifies them, exposes owned copy counts, and refuses unavailable/spent cards.</x:v>
      </x:c>
      <x:c r="F30" s="63" t="str">
        <x:v>/deck.html</x:v>
      </x:c>
      <x:c r="G30" s="63" t="str">
        <x:v>NutFT proofs in wallet</x:v>
      </x:c>
      <x:c r="H30" s="63" t="str">
        <x:v>Buy booster; open builder; add within/over ownership</x:v>
      </x:c>
      <x:c r="I30" s="63" t="str">
        <x:v>RUN-006 automated suite + RUN-008/009/010 browser evidence</x:v>
      </x:c>
      <x:c r="J30" s="63" t="str">
        <x:v>Fail</x:v>
      </x:c>
      <x:c r="K30" s="63" t="str">
        <x:v>Pass</x:v>
      </x:c>
      <x:c r="L30" s="64" t="n">
        <x:v>46254.02847222222</x:v>
      </x:c>
      <x:c r="M30" s="63" t="str">
        <x:v>D-010</x:v>
      </x:c>
      <x:c r="N30" s="63" t="str">
        <x:v>Verified on final branch b1fd2bf</x:v>
      </x:c>
      <x:c r="O30" s="63" t="str">
        <x:v>docs/demo-spec.md:87</x:v>
      </x:c>
    </x:row>
    <x:row r="31" ht="21.600000381469727" hidden="0" customHeight="1">
      <x:c r="A31" s="63" t="str">
        <x:v>US-029</x:v>
      </x:c>
      <x:c r="B31" s="63" t="str">
        <x:v>Stack Builder</x:v>
      </x:c>
      <x:c r="C31" s="63" t="str">
        <x:v>NutFT owner</x:v>
      </x:c>
      <x:c r="D31" s="63" t="str">
        <x:v>As a player, I can distinguish collection-only demo mode from unrestricted prototype mode.</x:v>
      </x:c>
      <x:c r="E31" s="63" t="str">
        <x:v>The UI clearly states whether ownership limits apply and never presents unverified shop history as proof ownership.</x:v>
      </x:c>
      <x:c r="F31" s="63" t="str">
        <x:v>/deck.html</x:v>
      </x:c>
      <x:c r="G31" s="63" t="str">
        <x:v>NutFT wallet optional</x:v>
      </x:c>
      <x:c r="H31" s="63" t="str">
        <x:v>Compare with and without verified wallet</x:v>
      </x:c>
      <x:c r="I31" s="63" t="str">
        <x:v>RUN-006 automated suite + RUN-008/009/010 browser evidence</x:v>
      </x:c>
      <x:c r="J31" s="63" t="str">
        <x:v>Fail</x:v>
      </x:c>
      <x:c r="K31" s="63" t="str">
        <x:v>Pass</x:v>
      </x:c>
      <x:c r="L31" s="64" t="n">
        <x:v>46254.02847222222</x:v>
      </x:c>
      <x:c r="M31" s="63" t="str">
        <x:v>D-010</x:v>
      </x:c>
      <x:c r="N31" s="63" t="str">
        <x:v>Verified on final branch b1fd2bf</x:v>
      </x:c>
      <x:c r="O31" s="63" t="str">
        <x:v>site/shop.js:878</x:v>
      </x:c>
    </x:row>
    <x:row r="32" ht="21.600000381469727" hidden="0" customHeight="1">
      <x:c r="A32" s="63" t="str">
        <x:v>US-040</x:v>
      </x:c>
      <x:c r="B32" s="63" t="str">
        <x:v>Free shop</x:v>
      </x:c>
      <x:c r="C32" s="63" t="str">
        <x:v>Collector</x:v>
      </x:c>
      <x:c r="D32" s="63" t="str">
        <x:v>As a visitor, I can open a free committed-box pack.</x:v>
      </x:c>
      <x:c r="E32" s="63" t="str">
        <x:v>One pack advances the cursor, reveals the configured number of cards, updates collection/history, and never requests payment.</x:v>
      </x:c>
      <x:c r="F32" s="63" t="str">
        <x:v>/shop.html#openPack</x:v>
      </x:c>
      <x:c r="G32" s="63" t="str">
        <x:v>Free mode</x:v>
      </x:c>
      <x:c r="H32" s="63" t="str">
        <x:v>Open pack; inspect count/history/storage</x:v>
      </x:c>
      <x:c r="I32" s="63" t="str">
        <x:v>RUN-006 automated suite + RUN-008/009/010 browser evidence</x:v>
      </x:c>
      <x:c r="J32" s="63" t="str">
        <x:v>Not Run</x:v>
      </x:c>
      <x:c r="K32" s="63" t="str">
        <x:v>Pass</x:v>
      </x:c>
      <x:c r="L32" s="64" t="n">
        <x:v>46254.02847222222</x:v>
      </x:c>
      <x:c r="M32" s="63" t="str"/>
      <x:c r="N32" s="63" t="str">
        <x:v>Verified on final branch b1fd2bf</x:v>
      </x:c>
      <x:c r="O32" s="63" t="str">
        <x:v>site/shop.js:216</x:v>
      </x:c>
    </x:row>
    <x:row r="33" ht="21.600000381469727" hidden="0" customHeight="1">
      <x:c r="A33" s="63" t="str">
        <x:v>US-041</x:v>
      </x:c>
      <x:c r="B33" s="63" t="str">
        <x:v>Free shop</x:v>
      </x:c>
      <x:c r="C33" s="63" t="str">
        <x:v>Collector</x:v>
      </x:c>
      <x:c r="D33" s="63" t="str">
        <x:v>As a collector, I can reveal all cards immediately.</x:v>
      </x:c>
      <x:c r="E33" s="63" t="str">
        <x:v>Reveal all ends animation and exposes every dealt face without changing the pack record.</x:v>
      </x:c>
      <x:c r="F33" s="63" t="str">
        <x:v>/shop.html#revealAll</x:v>
      </x:c>
      <x:c r="G33" s="63" t="str">
        <x:v>Pack opening</x:v>
      </x:c>
      <x:c r="H33" s="63" t="str">
        <x:v>Click during reveal</x:v>
      </x:c>
      <x:c r="I33" s="63" t="str">
        <x:v>RUN-006 automated suite + RUN-008/009/010 browser evidence</x:v>
      </x:c>
      <x:c r="J33" s="63" t="str">
        <x:v>Not Run</x:v>
      </x:c>
      <x:c r="K33" s="63" t="str">
        <x:v>Pass</x:v>
      </x:c>
      <x:c r="L33" s="64" t="n">
        <x:v>46254.02847222222</x:v>
      </x:c>
      <x:c r="M33" s="63" t="str"/>
      <x:c r="N33" s="63" t="str">
        <x:v>Verified on final branch b1fd2bf</x:v>
      </x:c>
      <x:c r="O33" s="63" t="str">
        <x:v>site/shop.js:858</x:v>
      </x:c>
    </x:row>
    <x:row r="34" ht="21.600000381469727" hidden="0" customHeight="1">
      <x:c r="A34" s="63" t="str">
        <x:v>US-042</x:v>
      </x:c>
      <x:c r="B34" s="63" t="str">
        <x:v>Free shop</x:v>
      </x:c>
      <x:c r="C34" s="63" t="str">
        <x:v>Collector</x:v>
      </x:c>
      <x:c r="D34" s="63" t="str">
        <x:v>As a tester, I can reset the demo box.</x:v>
      </x:c>
      <x:c r="E34" s="63" t="str">
        <x:v>Reset requires confirmation/clear intent, restores cursor/history/collection, and leaves unrelated storage intact.</x:v>
      </x:c>
      <x:c r="F34" s="63" t="str">
        <x:v>/shop.html#resetBox</x:v>
      </x:c>
      <x:c r="G34" s="63" t="str">
        <x:v>Free mode state exists</x:v>
      </x:c>
      <x:c r="H34" s="63" t="str">
        <x:v>Open then reset</x:v>
      </x:c>
      <x:c r="I34" s="63" t="str">
        <x:v>RUN-006 automated suite + RUN-008/009/010 browser evidence</x:v>
      </x:c>
      <x:c r="J34" s="63" t="str">
        <x:v>Not Run</x:v>
      </x:c>
      <x:c r="K34" s="63" t="str">
        <x:v>Pass</x:v>
      </x:c>
      <x:c r="L34" s="64" t="n">
        <x:v>46254.02847222222</x:v>
      </x:c>
      <x:c r="M34" s="63" t="str"/>
      <x:c r="N34" s="63" t="str">
        <x:v>Verified on final branch b1fd2bf</x:v>
      </x:c>
      <x:c r="O34" s="63" t="str">
        <x:v>site/shop.js:867</x:v>
      </x:c>
    </x:row>
    <x:row r="35" ht="21.600000381469727" hidden="0" customHeight="1">
      <x:c r="A35" s="63" t="str">
        <x:v>US-043</x:v>
      </x:c>
      <x:c r="B35" s="63" t="str">
        <x:v>Free shop</x:v>
      </x:c>
      <x:c r="C35" s="63" t="str">
        <x:v>Verifier</x:v>
      </x:c>
      <x:c r="D35" s="63" t="str">
        <x:v>As a buyer, I can verify the published box commitment locally.</x:v>
      </x:c>
      <x:c r="E35" s="63" t="str">
        <x:v>Browser recomputes SHA-256 over the shipped order and reports match/mismatch without trusting a server.</x:v>
      </x:c>
      <x:c r="F35" s="63" t="str">
        <x:v>/shop.html#verifyBox</x:v>
      </x:c>
      <x:c r="G35" s="63" t="str">
        <x:v>Free box loaded</x:v>
      </x:c>
      <x:c r="H35" s="63" t="str">
        <x:v>Click Verify</x:v>
      </x:c>
      <x:c r="I35" s="63" t="str">
        <x:v>RUN-006 automated suite + RUN-008/009/010 browser evidence</x:v>
      </x:c>
      <x:c r="J35" s="63" t="str">
        <x:v>Not Run</x:v>
      </x:c>
      <x:c r="K35" s="63" t="str">
        <x:v>Pass</x:v>
      </x:c>
      <x:c r="L35" s="64" t="n">
        <x:v>46254.02847222222</x:v>
      </x:c>
      <x:c r="M35" s="63" t="str"/>
      <x:c r="N35" s="63" t="str">
        <x:v>Verified on final branch b1fd2bf</x:v>
      </x:c>
      <x:c r="O35" s="63" t="str">
        <x:v>site/shop.js:886</x:v>
      </x:c>
    </x:row>
    <x:row r="36" ht="21.600000381469727" hidden="0" customHeight="1">
      <x:c r="A36" s="63" t="str">
        <x:v>US-044</x:v>
      </x:c>
      <x:c r="B36" s="63" t="str">
        <x:v>Free shop</x:v>
      </x:c>
      <x:c r="C36" s="63" t="str">
        <x:v>Verifier</x:v>
      </x:c>
      <x:c r="D36" s="63" t="str">
        <x:v>As a buyer, I can copy the box fingerprint.</x:v>
      </x:c>
      <x:c r="E36" s="63" t="str">
        <x:v>Copy uses clipboard when available and provides a visible fallback when denied.</x:v>
      </x:c>
      <x:c r="F36" s="63" t="str">
        <x:v>/shop.html#copyCommit</x:v>
      </x:c>
      <x:c r="G36" s="63" t="str">
        <x:v>Clipboard optional</x:v>
      </x:c>
      <x:c r="H36" s="63" t="str">
        <x:v>Click Copy fingerprint</x:v>
      </x:c>
      <x:c r="I36" s="63" t="str">
        <x:v>RUN-006 automated suite + RUN-008/009/010 browser evidence</x:v>
      </x:c>
      <x:c r="J36" s="63" t="str">
        <x:v>Not Run</x:v>
      </x:c>
      <x:c r="K36" s="63" t="str">
        <x:v>Pass</x:v>
      </x:c>
      <x:c r="L36" s="64" t="n">
        <x:v>46254.02847222222</x:v>
      </x:c>
      <x:c r="M36" s="63" t="str"/>
      <x:c r="N36" s="63" t="str">
        <x:v>Verified on final branch b1fd2bf</x:v>
      </x:c>
      <x:c r="O36" s="63" t="str">
        <x:v>site/shop.js:912</x:v>
      </x:c>
    </x:row>
    <x:row r="37" ht="21.600000381469727" hidden="0" customHeight="1">
      <x:c r="A37" s="63" t="str">
        <x:v>US-045</x:v>
      </x:c>
      <x:c r="B37" s="63" t="str">
        <x:v>Shop</x:v>
      </x:c>
      <x:c r="C37" s="63" t="str">
        <x:v>Collector</x:v>
      </x:c>
      <x:c r="D37" s="63" t="str">
        <x:v>As a collector, I keep collection and pack history across reloads.</x:v>
      </x:c>
      <x:c r="E37" s="63" t="str">
        <x:v>Counts, duplicates, timestamps, source positions/tokens, and history survive within storage limits.</x:v>
      </x:c>
      <x:c r="F37" s="63" t="str">
        <x:v>/shop.html</x:v>
      </x:c>
      <x:c r="G37" s="63" t="str">
        <x:v>Storage available</x:v>
      </x:c>
      <x:c r="H37" s="63" t="str">
        <x:v>Open packs; reload; compare</x:v>
      </x:c>
      <x:c r="I37" s="63" t="str">
        <x:v>RUN-006 automated suite + RUN-008/009/010 browser evidence</x:v>
      </x:c>
      <x:c r="J37" s="63" t="str">
        <x:v>Not Run</x:v>
      </x:c>
      <x:c r="K37" s="63" t="str">
        <x:v>Pass</x:v>
      </x:c>
      <x:c r="L37" s="64" t="n">
        <x:v>46254.02847222222</x:v>
      </x:c>
      <x:c r="M37" s="63" t="str"/>
      <x:c r="N37" s="63" t="str">
        <x:v>Verified on final branch b1fd2bf</x:v>
      </x:c>
      <x:c r="O37" s="63" t="str">
        <x:v>site/shop.js:195</x:v>
      </x:c>
    </x:row>
    <x:row r="38" ht="21.600000381469727" hidden="0" customHeight="1">
      <x:c r="A38" s="63" t="str">
        <x:v>US-046</x:v>
      </x:c>
      <x:c r="B38" s="63" t="str">
        <x:v>Shop</x:v>
      </x:c>
      <x:c r="C38" s="63" t="str">
        <x:v>Collector</x:v>
      </x:c>
      <x:c r="D38" s="63" t="str">
        <x:v>As a collector, I can inspect or select pulled cards.</x:v>
      </x:c>
      <x:c r="E38" s="63" t="str">
        <x:v>Click/keyboard sends a copy to the handoff Stack; right-click/hold opens the gallery entry.</x:v>
      </x:c>
      <x:c r="F38" s="63" t="str">
        <x:v>/shop.html</x:v>
      </x:c>
      <x:c r="G38" s="63" t="str">
        <x:v>Pulled card exists</x:v>
      </x:c>
      <x:c r="H38" s="63" t="str">
        <x:v>Exercise pointer and keyboard paths</x:v>
      </x:c>
      <x:c r="I38" s="63" t="str">
        <x:v>RUN-006 automated suite + RUN-008/009/010 browser evidence</x:v>
      </x:c>
      <x:c r="J38" s="63" t="str">
        <x:v>Not Run</x:v>
      </x:c>
      <x:c r="K38" s="63" t="str">
        <x:v>Pass</x:v>
      </x:c>
      <x:c r="L38" s="64" t="n">
        <x:v>46254.02847222222</x:v>
      </x:c>
      <x:c r="M38" s="63" t="str"/>
      <x:c r="N38" s="63" t="str">
        <x:v>Verified on final branch b1fd2bf</x:v>
      </x:c>
      <x:c r="O38" s="63" t="str">
        <x:v>site/shop.js:314</x:v>
      </x:c>
    </x:row>
    <x:row r="39" ht="21.600000381469727" hidden="0" customHeight="1">
      <x:c r="A39" s="63" t="str">
        <x:v>US-047</x:v>
      </x:c>
      <x:c r="B39" s="63" t="str">
        <x:v>Shop</x:v>
      </x:c>
      <x:c r="C39" s="63" t="str">
        <x:v>Deck builder</x:v>
      </x:c>
      <x:c r="D39" s="63" t="str">
        <x:v>As a collector, I can send the collection to the Stack Builder.</x:v>
      </x:c>
      <x:c r="E39" s="63" t="str">
        <x:v>Handoff preserves intended IDs/copies within storage budget and opens a builder that imports them.</x:v>
      </x:c>
      <x:c r="F39" s="63" t="str">
        <x:v>/shop.html#sendStack</x:v>
      </x:c>
      <x:c r="G39" s="63" t="str">
        <x:v>Collection exists</x:v>
      </x:c>
      <x:c r="H39" s="63" t="str">
        <x:v>Click; verify deck page</x:v>
      </x:c>
      <x:c r="I39" s="63" t="str">
        <x:v>RUN-006 automated suite + RUN-008/009/010 browser evidence</x:v>
      </x:c>
      <x:c r="J39" s="63" t="str">
        <x:v>Not Run</x:v>
      </x:c>
      <x:c r="K39" s="63" t="str">
        <x:v>Pass</x:v>
      </x:c>
      <x:c r="L39" s="64" t="n">
        <x:v>46254.02847222222</x:v>
      </x:c>
      <x:c r="M39" s="63" t="str"/>
      <x:c r="N39" s="63" t="str">
        <x:v>Verified on final branch b1fd2bf</x:v>
      </x:c>
      <x:c r="O39" s="63" t="str">
        <x:v>site/shop.js:878</x:v>
      </x:c>
    </x:row>
    <x:row r="40" ht="21.600000381469727" hidden="0" customHeight="1">
      <x:c r="A40" s="63" t="str">
        <x:v>US-050</x:v>
      </x:c>
      <x:c r="B40" s="63" t="str">
        <x:v>NutFT store</x:v>
      </x:c>
      <x:c r="C40" s="63" t="str">
        <x:v>Buyer</x:v>
      </x:c>
      <x:c r="D40" s="63" t="str">
        <x:v>As a buyer, I can recognize NutFT demo mode and its limitations.</x:v>
      </x:c>
      <x:c r="E40" s="63" t="str">
        <x:v>?shop=mint labels mint mode, removes generic box controls, shows census state, and says no real money moves.</x:v>
      </x:c>
      <x:c r="F40" s="63" t="str">
        <x:v>/shop.html?shop=mint</x:v>
      </x:c>
      <x:c r="G40" s="63" t="str">
        <x:v>Table server running</x:v>
      </x:c>
      <x:c r="H40" s="63" t="str">
        <x:v>Open and inspect mode-specific controls/copy</x:v>
      </x:c>
      <x:c r="I40" s="63" t="str">
        <x:v>RUN-006 automated suite + RUN-008/009/010 browser evidence</x:v>
      </x:c>
      <x:c r="J40" s="63" t="str">
        <x:v>Pass</x:v>
      </x:c>
      <x:c r="K40" s="63" t="str">
        <x:v>Pass</x:v>
      </x:c>
      <x:c r="L40" s="64" t="n">
        <x:v>46254.02847222222</x:v>
      </x:c>
      <x:c r="M40" s="63" t="str">
        <x:v>D-013</x:v>
      </x:c>
      <x:c r="N40" s="63" t="str">
        <x:v>Verified on final branch b1fd2bf</x:v>
      </x:c>
      <x:c r="O40" s="63" t="str">
        <x:v>site/shop.js:722</x:v>
      </x:c>
    </x:row>
    <x:row r="41" ht="21.600000381469727" hidden="0" customHeight="1">
      <x:c r="A41" s="63" t="str">
        <x:v>US-051</x:v>
      </x:c>
      <x:c r="B41" s="63" t="str">
        <x:v>NutFT store</x:v>
      </x:c>
      <x:c r="C41" s="63" t="str">
        <x:v>Buyer</x:v>
      </x:c>
      <x:c r="D41" s="63" t="str">
        <x:v>As a buyer, I can mint a seven-card booster into my browser wallet.</x:v>
      </x:c>
      <x:c r="E41" s="63" t="str">
        <x:v>One click obtains quote/keys, creates seven amount-1 P2BK outputs, receives DLEQ signatures, stores a Cashu token, and updates pack state.</x:v>
      </x:c>
      <x:c r="F41" s="63" t="str">
        <x:v>/shop.html?shop=mint#openPack</x:v>
      </x:c>
      <x:c r="G41" s="63" t="str">
        <x:v>Mint online; cashu-ts CDN reachable</x:v>
      </x:c>
      <x:c r="H41" s="63" t="str">
        <x:v>Buy booster; inspect UI/localStorage/API state</x:v>
      </x:c>
      <x:c r="I41" s="63" t="str">
        <x:v>RUN-006 automated suite + RUN-008/009/010 browser evidence</x:v>
      </x:c>
      <x:c r="J41" s="63" t="str">
        <x:v>Pass</x:v>
      </x:c>
      <x:c r="K41" s="63" t="str">
        <x:v>Pass</x:v>
      </x:c>
      <x:c r="L41" s="64" t="n">
        <x:v>46254.02847222222</x:v>
      </x:c>
      <x:c r="M41" s="63" t="str"/>
      <x:c r="N41" s="63" t="str">
        <x:v>Verified on final branch b1fd2bf</x:v>
      </x:c>
      <x:c r="O41" s="63" t="str">
        <x:v>site/nutft-wallet.js:57</x:v>
      </x:c>
    </x:row>
    <x:row r="42" ht="21.600000381469727" hidden="0" customHeight="1">
      <x:c r="A42" s="63" t="str">
        <x:v>US-052</x:v>
      </x:c>
      <x:c r="B42" s="63" t="str">
        <x:v>NutFT wallet</x:v>
      </x:c>
      <x:c r="C42" s="63" t="str">
        <x:v>Owner</x:v>
      </x:c>
      <x:c r="D42" s="63" t="str">
        <x:v>As an owner, I can reload and see every valid card.</x:v>
      </x:c>
      <x:c r="E42" s="63" t="str">
        <x:v>Wallet decodes tokens, verifies keyset/unit/amount/NutFT binding/P2BK/DLEQ/catalog/state/Blossom, then renders one tile per proof.</x:v>
      </x:c>
      <x:c r="F42" s="63" t="str">
        <x:v>/wallet.html</x:v>
      </x:c>
      <x:c r="G42" s="63" t="str">
        <x:v>Minted booster in localStorage</x:v>
      </x:c>
      <x:c r="H42" s="63" t="str">
        <x:v>Open wallet after purchase</x:v>
      </x:c>
      <x:c r="I42" s="63" t="str">
        <x:v>RUN-006 automated suite + RUN-008/009/010 browser evidence</x:v>
      </x:c>
      <x:c r="J42" s="63" t="str">
        <x:v>Fail</x:v>
      </x:c>
      <x:c r="K42" s="63" t="str">
        <x:v>Pass</x:v>
      </x:c>
      <x:c r="L42" s="64" t="n">
        <x:v>46254.02847222222</x:v>
      </x:c>
      <x:c r="M42" s="63" t="str">
        <x:v>D-001</x:v>
      </x:c>
      <x:c r="N42" s="63" t="str">
        <x:v>Verified on final branch b1fd2bf</x:v>
      </x:c>
      <x:c r="O42" s="63" t="str">
        <x:v>site/nutft-wallet.js:124</x:v>
      </x:c>
    </x:row>
    <x:row r="43" ht="21.600000381469727" hidden="0" customHeight="1">
      <x:c r="A43" s="63" t="str">
        <x:v>US-053</x:v>
      </x:c>
      <x:c r="B43" s="63" t="str">
        <x:v>NutFT wallet</x:v>
      </x:c>
      <x:c r="C43" s="63" t="str">
        <x:v>Owner</x:v>
      </x:c>
      <x:c r="D43" s="63" t="str">
        <x:v>As an owner, I see a safe empty state.</x:v>
      </x:c>
      <x:c r="E43" s="63" t="str">
        <x:v>With no tokens, wallet finishes loading, reports zero proofs, and offers the NutFT shop without an error.</x:v>
      </x:c>
      <x:c r="F43" s="63" t="str">
        <x:v>/wallet.html</x:v>
      </x:c>
      <x:c r="G43" s="63" t="str">
        <x:v>No wallet state</x:v>
      </x:c>
      <x:c r="H43" s="63" t="str">
        <x:v>Clear context; open page</x:v>
      </x:c>
      <x:c r="I43" s="63" t="str">
        <x:v>RUN-006 automated suite + RUN-008/009/010 browser evidence</x:v>
      </x:c>
      <x:c r="J43" s="63" t="str">
        <x:v>Not Run</x:v>
      </x:c>
      <x:c r="K43" s="63" t="str">
        <x:v>Pass</x:v>
      </x:c>
      <x:c r="L43" s="64" t="n">
        <x:v>46254.02847222222</x:v>
      </x:c>
      <x:c r="M43" s="63" t="str"/>
      <x:c r="N43" s="63" t="str">
        <x:v>Verified on final branch b1fd2bf</x:v>
      </x:c>
      <x:c r="O43" s="63" t="str">
        <x:v>site/wallet.html:41</x:v>
      </x:c>
    </x:row>
    <x:row r="44" ht="21.600000381469727" hidden="0" customHeight="1">
      <x:c r="A44" s="63" t="str">
        <x:v>US-054</x:v>
      </x:c>
      <x:c r="B44" s="63" t="str">
        <x:v>NutFT wallet</x:v>
      </x:c>
      <x:c r="C44" s="63" t="str">
        <x:v>Owner</x:v>
      </x:c>
      <x:c r="D44" s="63" t="str">
        <x:v>As an owner, I am warned without losing assets if wallet storage is malformed.</x:v>
      </x:c>
      <x:c r="E44" s="63" t="str">
        <x:v>Corrupt JSON/schema produces a recoverable error/export path; it never silently replaces persisted tokens with an empty wallet.</x:v>
      </x:c>
      <x:c r="F44" s="63" t="str">
        <x:v>/wallet.html</x:v>
      </x:c>
      <x:c r="G44" s="63" t="str">
        <x:v>Malformed localStorage</x:v>
      </x:c>
      <x:c r="H44" s="63" t="str">
        <x:v>Inject corruption; reload</x:v>
      </x:c>
      <x:c r="I44" s="63" t="str">
        <x:v>RUN-006 automated suite + RUN-008/009/010 browser evidence</x:v>
      </x:c>
      <x:c r="J44" s="63" t="str">
        <x:v>Fail</x:v>
      </x:c>
      <x:c r="K44" s="63" t="str">
        <x:v>Pass</x:v>
      </x:c>
      <x:c r="L44" s="64" t="n">
        <x:v>46254.02847222222</x:v>
      </x:c>
      <x:c r="M44" s="63" t="str">
        <x:v>D-014</x:v>
      </x:c>
      <x:c r="N44" s="63" t="str">
        <x:v>Verified on final branch b1fd2bf</x:v>
      </x:c>
      <x:c r="O44" s="63" t="str">
        <x:v>site/nutft-wallet.js:21</x:v>
      </x:c>
    </x:row>
    <x:row r="45" ht="21.600000381469727" hidden="0" customHeight="1">
      <x:c r="A45" s="63" t="str">
        <x:v>US-055</x:v>
      </x:c>
      <x:c r="B45" s="63" t="str">
        <x:v>NutFT wallet</x:v>
      </x:c>
      <x:c r="C45" s="63" t="str">
        <x:v>Owner</x:v>
      </x:c>
      <x:c r="D45" s="63" t="str">
        <x:v>As an owner, one bad card does not hide every good card.</x:v>
      </x:c>
      <x:c r="E45" s="63" t="str">
        <x:v>Per-proof/catalog/Blossom failures mark only affected cards invalid while valid cards and actionable errors remain visible.</x:v>
      </x:c>
      <x:c r="F45" s="63" t="str">
        <x:v>/wallet.html</x:v>
      </x:c>
      <x:c r="G45" s="63" t="str">
        <x:v>Mixed valid/invalid proofs or one failed face</x:v>
      </x:c>
      <x:c r="H45" s="63" t="str">
        <x:v>Inject one failure</x:v>
      </x:c>
      <x:c r="I45" s="63" t="str">
        <x:v>RUN-006 automated suite + RUN-008/009/010 browser evidence</x:v>
      </x:c>
      <x:c r="J45" s="63" t="str">
        <x:v>Fail</x:v>
      </x:c>
      <x:c r="K45" s="63" t="str">
        <x:v>Pass</x:v>
      </x:c>
      <x:c r="L45" s="64" t="n">
        <x:v>46254.02847222222</x:v>
      </x:c>
      <x:c r="M45" s="63" t="str">
        <x:v>D-015</x:v>
      </x:c>
      <x:c r="N45" s="63" t="str">
        <x:v>Verified on final branch b1fd2bf</x:v>
      </x:c>
      <x:c r="O45" s="63" t="str">
        <x:v>site/wallet.html:55</x:v>
      </x:c>
    </x:row>
    <x:row r="46" ht="21.600000381469727" hidden="0" customHeight="1">
      <x:c r="A46" s="63" t="str">
        <x:v>US-056</x:v>
      </x:c>
      <x:c r="B46" s="63" t="str">
        <x:v>NutFT wallet</x:v>
      </x:c>
      <x:c r="C46" s="63" t="str">
        <x:v>Recipient</x:v>
      </x:c>
      <x:c r="D46" s="63" t="str">
        <x:v>As a recipient, I can copy my P2BK destination and import a transferred Cashu token.</x:v>
      </x:c>
      <x:c r="E46" s="63" t="str">
        <x:v>Wallet exposes its recipient pubkey, validates imported mint/unit/proofs/ownership/state/catalog, and stores only valid unspent cards.</x:v>
      </x:c>
      <x:c r="F46" s="63" t="str">
        <x:v>/wallet.html</x:v>
      </x:c>
      <x:c r="G46" s="63" t="str">
        <x:v>Wallet identity initialized</x:v>
      </x:c>
      <x:c r="H46" s="63" t="str">
        <x:v>Copy key; import valid/invalid tokens</x:v>
      </x:c>
      <x:c r="I46" s="63" t="str">
        <x:v>RUN-006 automated suite + RUN-008/009/010 browser evidence</x:v>
      </x:c>
      <x:c r="J46" s="63" t="str">
        <x:v>Fail</x:v>
      </x:c>
      <x:c r="K46" s="63" t="str">
        <x:v>Pass</x:v>
      </x:c>
      <x:c r="L46" s="64" t="n">
        <x:v>46254.02847222222</x:v>
      </x:c>
      <x:c r="M46" s="63" t="str">
        <x:v>D-008</x:v>
      </x:c>
      <x:c r="N46" s="63" t="str">
        <x:v>Verified on final branch b1fd2bf</x:v>
      </x:c>
      <x:c r="O46" s="63" t="str">
        <x:v>site/wallet.html:33</x:v>
      </x:c>
    </x:row>
    <x:row r="47" ht="21.600000381469727" hidden="0" customHeight="1">
      <x:c r="A47" s="63" t="str">
        <x:v>US-057</x:v>
      </x:c>
      <x:c r="B47" s="63" t="str">
        <x:v>NutFT trade</x:v>
      </x:c>
      <x:c r="C47" s="63" t="str">
        <x:v>Sender</x:v>
      </x:c>
      <x:c r="D47" s="63" t="str">
        <x:v>As an owner, I can transfer a selected card to another wallet.</x:v>
      </x:c>
      <x:c r="E47" s="63" t="str">
        <x:v>Sender enters recipient pubkey; atomic consume/issue preserves exact reference/binding; sender loses card and receives a token to deliver.</x:v>
      </x:c>
      <x:c r="F47" s="63" t="str">
        <x:v>/wallet.html</x:v>
      </x:c>
      <x:c r="G47" s="63" t="str">
        <x:v>Owned unspent proof; recipient key</x:v>
      </x:c>
      <x:c r="H47" s="63" t="str">
        <x:v>Transfer one card and deliver token</x:v>
      </x:c>
      <x:c r="I47" s="63" t="str">
        <x:v>RUN-006 automated suite + RUN-008/009/010 browser evidence</x:v>
      </x:c>
      <x:c r="J47" s="63" t="str">
        <x:v>Fail</x:v>
      </x:c>
      <x:c r="K47" s="63" t="str">
        <x:v>Pass</x:v>
      </x:c>
      <x:c r="L47" s="64" t="n">
        <x:v>46254.02847222222</x:v>
      </x:c>
      <x:c r="M47" s="63" t="str">
        <x:v>D-008</x:v>
      </x:c>
      <x:c r="N47" s="63" t="str">
        <x:v>Verified on final branch b1fd2bf</x:v>
      </x:c>
      <x:c r="O47" s="63" t="str">
        <x:v>site/nutft-wallet.js:145</x:v>
      </x:c>
    </x:row>
    <x:row r="48" ht="21.600000381469727" hidden="0" customHeight="1">
      <x:c r="A48" s="63" t="str">
        <x:v>US-058</x:v>
      </x:c>
      <x:c r="B48" s="63" t="str">
        <x:v>NutFT trade</x:v>
      </x:c>
      <x:c r="C48" s="63" t="str">
        <x:v>Sender</x:v>
      </x:c>
      <x:c r="D48" s="63" t="str">
        <x:v>As an owner, I can recover a completed transfer after a lost response.</x:v>
      </x:c>
      <x:c r="E48" s="63" t="str">
        <x:v>The idempotency key and prepared blinded output survive before send; retry returns the same signature and finalizes local state exactly once.</x:v>
      </x:c>
      <x:c r="F48" s="63" t="str">
        <x:v>/wallet.html</x:v>
      </x:c>
      <x:c r="G48" s="63" t="str">
        <x:v>Network drops response after commit</x:v>
      </x:c>
      <x:c r="H48" s="63" t="str">
        <x:v>Intercept response; retry</x:v>
      </x:c>
      <x:c r="I48" s="63" t="str">
        <x:v>RUN-006 automated suite + RUN-008/009/010 browser evidence</x:v>
      </x:c>
      <x:c r="J48" s="63" t="str">
        <x:v>Fail</x:v>
      </x:c>
      <x:c r="K48" s="63" t="str">
        <x:v>Pass</x:v>
      </x:c>
      <x:c r="L48" s="64" t="n">
        <x:v>46254.02847222222</x:v>
      </x:c>
      <x:c r="M48" s="63" t="str">
        <x:v>D-009</x:v>
      </x:c>
      <x:c r="N48" s="63" t="str">
        <x:v>Verified on final branch b1fd2bf</x:v>
      </x:c>
      <x:c r="O48" s="63" t="str">
        <x:v>site/nutft-wallet.js:162</x:v>
      </x:c>
    </x:row>
    <x:row r="49" ht="21.600000381469727" hidden="0" customHeight="1">
      <x:c r="A49" s="63" t="str">
        <x:v>US-059</x:v>
      </x:c>
      <x:c r="B49" s="63" t="str">
        <x:v>NutFT trade</x:v>
      </x:c>
      <x:c r="C49" s="63" t="str">
        <x:v>Mint operator</x:v>
      </x:c>
      <x:c r="D49" s="63" t="str">
        <x:v>As the mint, I reject a replacement that changes card identity or catalog.</x:v>
      </x:c>
      <x:c r="E49" s="63" t="str">
        <x:v>Changed collection_id, asset_id, catalog_uri, or binding returns an explicit error and leaves the old proof UNSPENT.</x:v>
      </x:c>
      <x:c r="F49" s="63" t="str">
        <x:v>POST /nutft/trade</x:v>
      </x:c>
      <x:c r="G49" s="63" t="str">
        <x:v>Valid owned proof</x:v>
      </x:c>
      <x:c r="H49" s="63" t="str">
        <x:v>Submit each mismatch; check state</x:v>
      </x:c>
      <x:c r="I49" s="63" t="str">
        <x:v>RUN-006 automated suite + RUN-008/009/010 browser evidence</x:v>
      </x:c>
      <x:c r="J49" s="63" t="str">
        <x:v>Pass</x:v>
      </x:c>
      <x:c r="K49" s="63" t="str">
        <x:v>Pass</x:v>
      </x:c>
      <x:c r="L49" s="64" t="n">
        <x:v>46254.02847222222</x:v>
      </x:c>
      <x:c r="M49" s="63" t="str"/>
      <x:c r="N49" s="63" t="str">
        <x:v>Verified on final branch b1fd2bf</x:v>
      </x:c>
      <x:c r="O49" s="63" t="str">
        <x:v>server/nutft-mint.js:169</x:v>
      </x:c>
    </x:row>
    <x:row r="50" ht="21.600000381469727" hidden="0" customHeight="1">
      <x:c r="A50" s="63" t="str">
        <x:v>US-060</x:v>
      </x:c>
      <x:c r="B50" s="63" t="str">
        <x:v>NutFT trade</x:v>
      </x:c>
      <x:c r="C50" s="63" t="str">
        <x:v>Mint operator</x:v>
      </x:c>
      <x:c r="D50" s="63" t="str">
        <x:v>As the mint, I reject a second spend.</x:v>
      </x:c>
      <x:c r="E50" s="63" t="str">
        <x:v>After successful trade, any new operation using old proof fails and checkstate reports SPENT.</x:v>
      </x:c>
      <x:c r="F50" s="63" t="str">
        <x:v>POST /nutft/trade</x:v>
      </x:c>
      <x:c r="G50" s="63" t="str">
        <x:v>Completed trade</x:v>
      </x:c>
      <x:c r="H50" s="63" t="str">
        <x:v>Replay with new idempotency key</x:v>
      </x:c>
      <x:c r="I50" s="63" t="str">
        <x:v>RUN-006 automated suite + RUN-008/009/010 browser evidence</x:v>
      </x:c>
      <x:c r="J50" s="63" t="str">
        <x:v>Pass</x:v>
      </x:c>
      <x:c r="K50" s="63" t="str">
        <x:v>Pass</x:v>
      </x:c>
      <x:c r="L50" s="64" t="n">
        <x:v>46254.02847222222</x:v>
      </x:c>
      <x:c r="M50" s="63" t="str"/>
      <x:c r="N50" s="63" t="str">
        <x:v>Verified on final branch b1fd2bf</x:v>
      </x:c>
      <x:c r="O50" s="63" t="str">
        <x:v>tests/js/nutft.test.mjs:88</x:v>
      </x:c>
    </x:row>
    <x:row r="51" ht="21.600000381469727" hidden="0" customHeight="1">
      <x:c r="A51" s="63" t="str">
        <x:v>US-061</x:v>
      </x:c>
      <x:c r="B51" s="63" t="str">
        <x:v>NutFT trade</x:v>
      </x:c>
      <x:c r="C51" s="63" t="str">
        <x:v>Mint operator</x:v>
      </x:c>
      <x:c r="D51" s="63" t="str">
        <x:v>As the mint, I recover an identical completed trade.</x:v>
      </x:c>
      <x:c r="E51" s="63" t="str">
        <x:v>Repeating the same idempotency key returns byte-equivalent result without another spend or issue.</x:v>
      </x:c>
      <x:c r="F51" s="63" t="str">
        <x:v>POST /nutft/trade</x:v>
      </x:c>
      <x:c r="G51" s="63" t="str">
        <x:v>Completed trade</x:v>
      </x:c>
      <x:c r="H51" s="63" t="str">
        <x:v>Repeat identical request</x:v>
      </x:c>
      <x:c r="I51" s="63" t="str">
        <x:v>RUN-006 automated suite + RUN-008/009/010 browser evidence</x:v>
      </x:c>
      <x:c r="J51" s="63" t="str">
        <x:v>Pass</x:v>
      </x:c>
      <x:c r="K51" s="63" t="str">
        <x:v>Pass</x:v>
      </x:c>
      <x:c r="L51" s="64" t="n">
        <x:v>46254.02847222222</x:v>
      </x:c>
      <x:c r="M51" s="63" t="str"/>
      <x:c r="N51" s="63" t="str">
        <x:v>Verified on final branch b1fd2bf</x:v>
      </x:c>
      <x:c r="O51" s="63" t="str">
        <x:v>server/nutft-mint.js:171</x:v>
      </x:c>
    </x:row>
    <x:row r="52" ht="21.600000381469727" hidden="0" customHeight="1">
      <x:c r="A52" s="63" t="str">
        <x:v>US-062</x:v>
      </x:c>
      <x:c r="B52" s="63" t="str">
        <x:v>NutFT safety</x:v>
      </x:c>
      <x:c r="C52" s="63" t="str">
        <x:v>Wallet/mint</x:v>
      </x:c>
      <x:c r="D52" s="63" t="str">
        <x:v>As a user, generic swaps or melts cannot erase card metadata.</x:v>
      </x:c>
      <x:c r="E52" s="63" t="str">
        <x:v>Metadata-dropping generic consume endpoints are unavailable or explicitly reject NutFT inputs.</x:v>
      </x:c>
      <x:c r="F52" s="63" t="str">
        <x:v>/v1/swap and melt routes</x:v>
      </x:c>
      <x:c r="G52" s="63" t="str">
        <x:v>Table server running</x:v>
      </x:c>
      <x:c r="H52" s="63" t="str">
        <x:v>POST generic routes</x:v>
      </x:c>
      <x:c r="I52" s="63" t="str">
        <x:v>RUN-006 automated suite + RUN-008/009/010 browser evidence</x:v>
      </x:c>
      <x:c r="J52" s="63" t="str">
        <x:v>Pass</x:v>
      </x:c>
      <x:c r="K52" s="63" t="str">
        <x:v>Pass</x:v>
      </x:c>
      <x:c r="L52" s="64" t="n">
        <x:v>46254.02847222222</x:v>
      </x:c>
      <x:c r="M52" s="63" t="str"/>
      <x:c r="N52" s="63" t="str">
        <x:v>Verified on final branch b1fd2bf</x:v>
      </x:c>
      <x:c r="O52" s="63" t="str">
        <x:v>server/nutft-mint.js:219</x:v>
      </x:c>
    </x:row>
    <x:row r="53" ht="21.600000381469727" hidden="0" customHeight="1">
      <x:c r="A53" s="63" t="str">
        <x:v>US-063</x:v>
      </x:c>
      <x:c r="B53" s="63" t="str">
        <x:v>NutFT capability</x:v>
      </x:c>
      <x:c r="C53" s="63" t="str">
        <x:v>Wallet</x:v>
      </x:c>
      <x:c r="D53" s="63" t="str">
        <x:v>As a wallet, I negotiate NUT-31/P2BK/DLEQ before mint or trade.</x:v>
      </x:c>
      <x:c r="E53" s="63" t="str">
        <x:v>Wallet fetches /v1/info and refuses unsupported versions/capabilities before constructing/sending outputs.</x:v>
      </x:c>
      <x:c r="F53" s="63" t="str">
        <x:v>/v1/info</x:v>
      </x:c>
      <x:c r="G53" s="63" t="str">
        <x:v>Mint reachable</x:v>
      </x:c>
      <x:c r="H53" s="63" t="str">
        <x:v>Return missing/false capabilities</x:v>
      </x:c>
      <x:c r="I53" s="63" t="str">
        <x:v>RUN-006 automated suite + RUN-008/009/010 browser evidence</x:v>
      </x:c>
      <x:c r="J53" s="63" t="str">
        <x:v>Fail</x:v>
      </x:c>
      <x:c r="K53" s="63" t="str">
        <x:v>Pass</x:v>
      </x:c>
      <x:c r="L53" s="64" t="n">
        <x:v>46254.02847222222</x:v>
      </x:c>
      <x:c r="M53" s="63" t="str">
        <x:v>D-002</x:v>
      </x:c>
      <x:c r="N53" s="63" t="str">
        <x:v>Verified on final branch b1fd2bf</x:v>
      </x:c>
      <x:c r="O53" s="63" t="str">
        <x:v>site/nutft-wallet.js:48</x:v>
      </x:c>
    </x:row>
    <x:row r="54" ht="21.600000381469727" hidden="0" customHeight="1">
      <x:c r="A54" s="63" t="str">
        <x:v>US-064</x:v>
      </x:c>
      <x:c r="B54" s="63" t="str">
        <x:v>NutFT catalog</x:v>
      </x:c>
      <x:c r="C54" s="63" t="str">
        <x:v>Owner</x:v>
      </x:c>
      <x:c r="D54" s="63" t="str">
        <x:v>As an owner, I authenticate the catalog authority.</x:v>
      </x:c>
      <x:c r="E54" s="63" t="str">
        <x:v>Signature verifies against an application-pinned issuer key; a catalog cannot choose a new key and self-authorize.</x:v>
      </x:c>
      <x:c r="F54" s="63" t="str">
        <x:v>catalog_uri</x:v>
      </x:c>
      <x:c r="G54" s="63" t="str">
        <x:v>Catalog fetched</x:v>
      </x:c>
      <x:c r="H54" s="63" t="str">
        <x:v>Serve self-signed attacker catalog</x:v>
      </x:c>
      <x:c r="I54" s="63" t="str">
        <x:v>RUN-006 automated suite + RUN-008/009/010 browser evidence</x:v>
      </x:c>
      <x:c r="J54" s="63" t="str">
        <x:v>Fail</x:v>
      </x:c>
      <x:c r="K54" s="63" t="str">
        <x:v>Pass</x:v>
      </x:c>
      <x:c r="L54" s="64" t="n">
        <x:v>46254.02847222222</x:v>
      </x:c>
      <x:c r="M54" s="63" t="str">
        <x:v>D-003</x:v>
      </x:c>
      <x:c r="N54" s="63" t="str">
        <x:v>Verified on final branch b1fd2bf</x:v>
      </x:c>
      <x:c r="O54" s="63" t="str">
        <x:v>site/nutft-wallet.js:115</x:v>
      </x:c>
    </x:row>
    <x:row r="55" ht="21.600000381469727" hidden="0" customHeight="1">
      <x:c r="A55" s="63" t="str">
        <x:v>US-065</x:v>
      </x:c>
      <x:c r="B55" s="63" t="str">
        <x:v>NutFT catalog</x:v>
      </x:c>
      <x:c r="C55" s="63" t="str">
        <x:v>Owner</x:v>
      </x:c>
      <x:c r="D55" s="63" t="str">
        <x:v>As an owner, I resolve the exact immutable catalog pointer carried by each proof.</x:v>
      </x:c>
      <x:c r="E55" s="63" t="str">
        <x:v>Wallet fetches tag catalog_uri, validates a content-addressed/immutable manifest and collection ID, and never silently substitutes current mint catalog.</x:v>
      </x:c>
      <x:c r="F55" s="63" t="str">
        <x:v>catalog_uri in proof</x:v>
      </x:c>
      <x:c r="G55" s="63" t="str">
        <x:v>Owned proof</x:v>
      </x:c>
      <x:c r="H55" s="63" t="str">
        <x:v>Change mint catalog/current endpoint</x:v>
      </x:c>
      <x:c r="I55" s="63" t="str">
        <x:v>RUN-006 automated suite + RUN-008/009/010 browser evidence</x:v>
      </x:c>
      <x:c r="J55" s="63" t="str">
        <x:v>Fail</x:v>
      </x:c>
      <x:c r="K55" s="63" t="str">
        <x:v>Pass</x:v>
      </x:c>
      <x:c r="L55" s="64" t="n">
        <x:v>46254.02847222222</x:v>
      </x:c>
      <x:c r="M55" s="63" t="str">
        <x:v>D-004</x:v>
      </x:c>
      <x:c r="N55" s="63" t="str">
        <x:v>Verified on final branch b1fd2bf</x:v>
      </x:c>
      <x:c r="O55" s="63" t="str">
        <x:v>site/nutft-wallet.js:126</x:v>
      </x:c>
    </x:row>
    <x:row r="56" ht="21.600000381469727" hidden="0" customHeight="1">
      <x:c r="A56" s="63" t="str">
        <x:v>US-066</x:v>
      </x:c>
      <x:c r="B56" s="63" t="str">
        <x:v>NutFT catalog</x:v>
      </x:c>
      <x:c r="C56" s="63" t="str">
        <x:v>Owner</x:v>
      </x:c>
      <x:c r="D56" s="63" t="str">
        <x:v>As an owner, untrusted catalog fields are data only.</x:v>
      </x:c>
      <x:c r="E56" s="63" t="str">
        <x:v>Names, tiers, descriptions, URLs, and properties render through safe text/attribute APIs; no HTML/event code executes.</x:v>
      </x:c>
      <x:c r="F56" s="63" t="str">
        <x:v>/wallet.html</x:v>
      </x:c>
      <x:c r="G56" s="63" t="str">
        <x:v>Malicious signed catalog fixture</x:v>
      </x:c>
      <x:c r="H56" s="63" t="str">
        <x:v>Inject HTML/event attributes</x:v>
      </x:c>
      <x:c r="I56" s="63" t="str">
        <x:v>RUN-006 automated suite + RUN-008/009/010 browser evidence</x:v>
      </x:c>
      <x:c r="J56" s="63" t="str">
        <x:v>Fail</x:v>
      </x:c>
      <x:c r="K56" s="63" t="str">
        <x:v>Pass</x:v>
      </x:c>
      <x:c r="L56" s="64" t="n">
        <x:v>46254.02847222222</x:v>
      </x:c>
      <x:c r="M56" s="63" t="str">
        <x:v>D-005</x:v>
      </x:c>
      <x:c r="N56" s="63" t="str">
        <x:v>Verified on final branch b1fd2bf</x:v>
      </x:c>
      <x:c r="O56" s="63" t="str">
        <x:v>site/wallet.html:57</x:v>
      </x:c>
    </x:row>
    <x:row r="57" ht="21.600000381469727" hidden="0" customHeight="1">
      <x:c r="A57" s="63" t="str">
        <x:v>US-067</x:v>
      </x:c>
      <x:c r="B57" s="63" t="str">
        <x:v>NutFT gameplay</x:v>
      </x:c>
      <x:c r="C57" s="63" t="str">
        <x:v>Player</x:v>
      </x:c>
      <x:c r="D57" s="63" t="str">
        <x:v>As a player, I can start a Stack only after proving possession of its NutFT cards.</x:v>
      </x:c>
      <x:c r="E57" s="63" t="str">
        <x:v>Gameplay requests proof control/current state for each selected card; rules remain external to tokens; missing/spent cards are refused.</x:v>
      </x:c>
      <x:c r="F57" s="63" t="str">
        <x:v>/play.html</x:v>
      </x:c>
      <x:c r="G57" s="63" t="str">
        <x:v>NutFT-backed saved Stack</x:v>
      </x:c>
      <x:c r="H57" s="63" t="str">
        <x:v>Start with valid, missing, and spent cards</x:v>
      </x:c>
      <x:c r="I57" s="63" t="str">
        <x:v>RUN-006 automated suite + RUN-008/009/010 browser evidence</x:v>
      </x:c>
      <x:c r="J57" s="63" t="str">
        <x:v>Fail</x:v>
      </x:c>
      <x:c r="K57" s="63" t="str">
        <x:v>Pass</x:v>
      </x:c>
      <x:c r="L57" s="64" t="n">
        <x:v>46254.02847222222</x:v>
      </x:c>
      <x:c r="M57" s="63" t="str">
        <x:v>D-011</x:v>
      </x:c>
      <x:c r="N57" s="63" t="str">
        <x:v>Verified on final branch b1fd2bf</x:v>
      </x:c>
      <x:c r="O57" s="63" t="str">
        <x:v>site/play.js:4220</x:v>
      </x:c>
    </x:row>
    <x:row r="58" ht="21.600000381469727" hidden="0" customHeight="1">
      <x:c r="A58" s="63" t="str">
        <x:v>US-070</x:v>
      </x:c>
      <x:c r="B58" s="63" t="str">
        <x:v>Local play</x:v>
      </x:c>
      <x:c r="C58" s="63" t="str">
        <x:v>Two players</x:v>
      </x:c>
      <x:c r="D58" s="63" t="str">
        <x:v>As two local players, we can start a hotseat match.</x:v>
      </x:c>
      <x:c r="E58" s="63" t="str">
        <x:v>Names/decks/optional seed create a legal game, hide setup, show table, seven-card Wallets, phases, Uptime, and legal actions.</x:v>
      </x:c>
      <x:c r="F58" s="63" t="str">
        <x:v>/play.html#start</x:v>
      </x:c>
      <x:c r="G58" s="63" t="str">
        <x:v>Playable decks</x:v>
      </x:c>
      <x:c r="H58" s="63" t="str">
        <x:v>Start default local game</x:v>
      </x:c>
      <x:c r="I58" s="63" t="str">
        <x:v>RUN-006 automated suite + RUN-008/009/010 browser evidence</x:v>
      </x:c>
      <x:c r="J58" s="63" t="str">
        <x:v>Not Run</x:v>
      </x:c>
      <x:c r="K58" s="63" t="str">
        <x:v>Pass</x:v>
      </x:c>
      <x:c r="L58" s="64" t="n">
        <x:v>46254.02847222222</x:v>
      </x:c>
      <x:c r="M58" s="63" t="str"/>
      <x:c r="N58" s="63" t="str">
        <x:v>Verified on final branch b1fd2bf</x:v>
      </x:c>
      <x:c r="O58" s="63" t="str">
        <x:v>site/play.js:4368</x:v>
      </x:c>
    </x:row>
    <x:row r="59" ht="21.600000381469727" hidden="0" customHeight="1">
      <x:c r="A59" s="63" t="str">
        <x:v>US-071</x:v>
      </x:c>
      <x:c r="B59" s="63" t="str">
        <x:v>Local play</x:v>
      </x:c>
      <x:c r="C59" s="63" t="str">
        <x:v>Solo player</x:v>
      </x:c>
      <x:c r="D59" s="63" t="str">
        <x:v>As a solo player, I can play against the NPC.</x:v>
      </x:c>
      <x:c r="E59" s="63" t="str">
        <x:v>NPC toggle renames seat two, starts legally, responds to proposals, and always makes accepted moves without stalling.</x:v>
      </x:c>
      <x:c r="F59" s="63" t="str">
        <x:v>/play.html#npcB</x:v>
      </x:c>
      <x:c r="G59" s="63" t="str">
        <x:v>None</x:v>
      </x:c>
      <x:c r="H59" s="63" t="str">
        <x:v>Toggle NPC; play several turns</x:v>
      </x:c>
      <x:c r="I59" s="63" t="str">
        <x:v>RUN-006 automated suite + RUN-008/009/010 browser evidence</x:v>
      </x:c>
      <x:c r="J59" s="63" t="str">
        <x:v>Not Run</x:v>
      </x:c>
      <x:c r="K59" s="63" t="str">
        <x:v>Pass</x:v>
      </x:c>
      <x:c r="L59" s="64" t="n">
        <x:v>46254.02847222222</x:v>
      </x:c>
      <x:c r="M59" s="63" t="str"/>
      <x:c r="N59" s="63" t="str">
        <x:v>Verified on final branch b1fd2bf</x:v>
      </x:c>
      <x:c r="O59" s="63" t="str">
        <x:v>site/play.html:693</x:v>
      </x:c>
    </x:row>
    <x:row r="60" ht="21.600000381469727" hidden="0" customHeight="1">
      <x:c r="A60" s="63" t="str">
        <x:v>US-072</x:v>
      </x:c>
      <x:c r="B60" s="63" t="str">
        <x:v>Local play</x:v>
      </x:c>
      <x:c r="C60" s="63" t="str">
        <x:v>Tester</x:v>
      </x:c>
      <x:c r="D60" s="63" t="str">
        <x:v>As a tester, I can replay a seeded opening.</x:v>
      </x:c>
      <x:c r="E60" s="63" t="str">
        <x:v>Same names/decks/seed produce the same initial state and visible opening; invalid seed handling is clear.</x:v>
      </x:c>
      <x:c r="F60" s="63" t="str">
        <x:v>/play.html#seed</x:v>
      </x:c>
      <x:c r="G60" s="63" t="str">
        <x:v>None</x:v>
      </x:c>
      <x:c r="H60" s="63" t="str">
        <x:v>Start same seed twice</x:v>
      </x:c>
      <x:c r="I60" s="63" t="str">
        <x:v>RUN-006 automated suite + RUN-008/009/010 browser evidence</x:v>
      </x:c>
      <x:c r="J60" s="63" t="str">
        <x:v>Not Run</x:v>
      </x:c>
      <x:c r="K60" s="63" t="str">
        <x:v>Pass</x:v>
      </x:c>
      <x:c r="L60" s="64" t="n">
        <x:v>46254.02847222222</x:v>
      </x:c>
      <x:c r="M60" s="63" t="str"/>
      <x:c r="N60" s="63" t="str">
        <x:v>Verified on final branch b1fd2bf</x:v>
      </x:c>
      <x:c r="O60" s="63" t="str">
        <x:v>site/play.html:705</x:v>
      </x:c>
    </x:row>
    <x:row r="61" ht="21.600000381469727" hidden="0" customHeight="1">
      <x:c r="A61" s="63" t="str">
        <x:v>US-073</x:v>
      </x:c>
      <x:c r="B61" s="63" t="str">
        <x:v>Local play</x:v>
      </x:c>
      <x:c r="C61" s="63" t="str">
        <x:v>Returning player</x:v>
      </x:c>
      <x:c r="D61" s="63" t="str">
        <x:v>As a player, my saved/preconstructed Stacks appear in seat menus.</x:v>
      </x:c>
      <x:c r="E61" s="63" t="str">
        <x:v>Builder-saved and starter lists populate both selectors; selected exact list is validated and committed by engine.</x:v>
      </x:c>
      <x:c r="F61" s="63" t="str">
        <x:v>/play.html#deckA</x:v>
      </x:c>
      <x:c r="G61" s="63" t="str">
        <x:v>Saved Stack exists</x:v>
      </x:c>
      <x:c r="H61" s="63" t="str">
        <x:v>Reload play; select saved Stack; start</x:v>
      </x:c>
      <x:c r="I61" s="63" t="str">
        <x:v>RUN-006 automated suite + RUN-008/009/010 browser evidence</x:v>
      </x:c>
      <x:c r="J61" s="63" t="str">
        <x:v>Not Run</x:v>
      </x:c>
      <x:c r="K61" s="63" t="str">
        <x:v>Pass</x:v>
      </x:c>
      <x:c r="L61" s="64" t="n">
        <x:v>46254.02847222222</x:v>
      </x:c>
      <x:c r="M61" s="63" t="str"/>
      <x:c r="N61" s="63" t="str">
        <x:v>Verified on final branch b1fd2bf</x:v>
      </x:c>
      <x:c r="O61" s="63" t="str">
        <x:v>site/play.js:4296</x:v>
      </x:c>
    </x:row>
    <x:row r="62" ht="21.600000381469727" hidden="0" customHeight="1">
      <x:c r="A62" s="63" t="str">
        <x:v>US-074</x:v>
      </x:c>
      <x:c r="B62" s="63" t="str">
        <x:v>Local play</x:v>
      </x:c>
      <x:c r="C62" s="63" t="str">
        <x:v>New player</x:v>
      </x:c>
      <x:c r="D62" s="63" t="str">
        <x:v>As a new player, I can complete or skip the first-table tour.</x:v>
      </x:c>
      <x:c r="E62" s="63" t="str">
        <x:v>Tour advances through intended steps, persists completion, remains keyboard usable, and does not block Start.</x:v>
      </x:c>
      <x:c r="F62" s="63" t="str">
        <x:v>/play.html#coach</x:v>
      </x:c>
      <x:c r="G62" s="63" t="str">
        <x:v>Fresh storage</x:v>
      </x:c>
      <x:c r="H62" s="63" t="str">
        <x:v>Use Next and Skip; reload</x:v>
      </x:c>
      <x:c r="I62" s="63" t="str">
        <x:v>RUN-006 automated suite + RUN-008/009/010 browser evidence</x:v>
      </x:c>
      <x:c r="J62" s="63" t="str">
        <x:v>Not Run</x:v>
      </x:c>
      <x:c r="K62" s="63" t="str">
        <x:v>Pass</x:v>
      </x:c>
      <x:c r="L62" s="64" t="n">
        <x:v>46254.02847222222</x:v>
      </x:c>
      <x:c r="M62" s="63" t="str"/>
      <x:c r="N62" s="63" t="str">
        <x:v>Verified on final branch b1fd2bf</x:v>
      </x:c>
      <x:c r="O62" s="63" t="str">
        <x:v>site/play.js:4370</x:v>
      </x:c>
    </x:row>
    <x:row r="63" ht="21.600000381469727" hidden="0" customHeight="1">
      <x:c r="A63" s="63" t="str">
        <x:v>US-075</x:v>
      </x:c>
      <x:c r="B63" s="63" t="str">
        <x:v>Local play</x:v>
      </x:c>
      <x:c r="C63" s="63" t="str">
        <x:v>Player</x:v>
      </x:c>
      <x:c r="D63" s="63" t="str">
        <x:v>As a player, I can inspect cards and keyword help.</x:v>
      </x:c>
      <x:c r="E63" s="63" t="str">
        <x:v>Hover/focus/hold opens readable card details; keyword buttons open definitions; dialogs close by standard controls.</x:v>
      </x:c>
      <x:c r="F63" s="63" t="str">
        <x:v>/play.html</x:v>
      </x:c>
      <x:c r="G63" s="63" t="str">
        <x:v>Game started</x:v>
      </x:c>
      <x:c r="H63" s="63" t="str">
        <x:v>Inspect hand/network/keyword</x:v>
      </x:c>
      <x:c r="I63" s="63" t="str">
        <x:v>RUN-006 automated suite + RUN-008/009/010 browser evidence</x:v>
      </x:c>
      <x:c r="J63" s="63" t="str">
        <x:v>Not Run</x:v>
      </x:c>
      <x:c r="K63" s="63" t="str">
        <x:v>Pass</x:v>
      </x:c>
      <x:c r="L63" s="64" t="n">
        <x:v>46254.02847222222</x:v>
      </x:c>
      <x:c r="M63" s="63" t="str"/>
      <x:c r="N63" s="63" t="str">
        <x:v>Verified on final branch b1fd2bf</x:v>
      </x:c>
      <x:c r="O63" s="63" t="str">
        <x:v>site/play.js:1542</x:v>
      </x:c>
    </x:row>
    <x:row r="64" ht="21.600000381469727" hidden="0" customHeight="1">
      <x:c r="A64" s="63" t="str">
        <x:v>US-076</x:v>
      </x:c>
      <x:c r="B64" s="63" t="str">
        <x:v>Local play</x:v>
      </x:c>
      <x:c r="C64" s="63" t="str">
        <x:v>Player</x:v>
      </x:c>
      <x:c r="D64" s="63" t="str">
        <x:v>As a player, I can perform normal turn actions.</x:v>
      </x:c>
      <x:c r="E64" s="63" t="str">
        <x:v>Legal Resource/card/ability plays, Queue resolution, Continue, phase changes, and End turn match authoritative engine results; illegal actions explain refusal.</x:v>
      </x:c>
      <x:c r="F64" s="63" t="str">
        <x:v>/play.html</x:v>
      </x:c>
      <x:c r="G64" s="63" t="str">
        <x:v>Game started</x:v>
      </x:c>
      <x:c r="H64" s="63" t="str">
        <x:v>Play Resource/card; Continue; End turn; attempt illegal action</x:v>
      </x:c>
      <x:c r="I64" s="63" t="str">
        <x:v>RUN-006 automated suite + RUN-008/009/010 browser evidence</x:v>
      </x:c>
      <x:c r="J64" s="63" t="str">
        <x:v>Not Run</x:v>
      </x:c>
      <x:c r="K64" s="63" t="str">
        <x:v>Pass</x:v>
      </x:c>
      <x:c r="L64" s="64" t="n">
        <x:v>46254.02847222222</x:v>
      </x:c>
      <x:c r="M64" s="63" t="str"/>
      <x:c r="N64" s="63" t="str">
        <x:v>Verified on final branch b1fd2bf</x:v>
      </x:c>
      <x:c r="O64" s="63" t="str">
        <x:v>site/play.js:4368</x:v>
      </x:c>
    </x:row>
    <x:row r="65" ht="21.600000381469727" hidden="0" customHeight="1">
      <x:c r="A65" s="63" t="str">
        <x:v>US-077</x:v>
      </x:c>
      <x:c r="B65" s="63" t="str">
        <x:v>Local play</x:v>
      </x:c>
      <x:c r="C65" s="63" t="str">
        <x:v>Player</x:v>
      </x:c>
      <x:c r="D65" s="63" t="str">
        <x:v>As a player, I can choose and cancel targets/modes/costs.</x:v>
      </x:c>
      <x:c r="E65" s="63" t="str">
        <x:v>Only legal targets/actions highlight; cancel restores neutral state; variable and modal choices require explicit confirmation.</x:v>
      </x:c>
      <x:c r="F65" s="63" t="str">
        <x:v>/play.html</x:v>
      </x:c>
      <x:c r="G65" s="63" t="str">
        <x:v>Relevant card/action available</x:v>
      </x:c>
      <x:c r="H65" s="63" t="str">
        <x:v>Exercise target, mode, X, optional cost</x:v>
      </x:c>
      <x:c r="I65" s="63" t="str">
        <x:v>RUN-006 automated suite + RUN-008/009/010 browser evidence</x:v>
      </x:c>
      <x:c r="J65" s="63" t="str">
        <x:v>Not Run</x:v>
      </x:c>
      <x:c r="K65" s="63" t="str">
        <x:v>Pass</x:v>
      </x:c>
      <x:c r="L65" s="64" t="n">
        <x:v>46254.02847222222</x:v>
      </x:c>
      <x:c r="M65" s="63" t="str"/>
      <x:c r="N65" s="63" t="str">
        <x:v>Verified on final branch b1fd2bf</x:v>
      </x:c>
      <x:c r="O65" s="63" t="str">
        <x:v>site/play.js:2806</x:v>
      </x:c>
    </x:row>
    <x:row r="66" ht="21.600000381469727" hidden="0" customHeight="1">
      <x:c r="A66" s="63" t="str">
        <x:v>US-078</x:v>
      </x:c>
      <x:c r="B66" s="63" t="str">
        <x:v>Local play</x:v>
      </x:c>
      <x:c r="C66" s="63" t="str">
        <x:v>Player</x:v>
      </x:c>
      <x:c r="D66" s="63" t="str">
        <x:v>As a player, I can declare and preview a clash.</x:v>
      </x:c>
      <x:c r="E66" s="63" t="str">
        <x:v>Send all, individual attackers, Mesh grouping, blockers/order, preview arrows/damage, and confirmation agree with engine.</x:v>
      </x:c>
      <x:c r="F66" s="63" t="str">
        <x:v>/play.html</x:v>
      </x:c>
      <x:c r="G66" s="63" t="str">
        <x:v>Clash phase with avatars</x:v>
      </x:c>
      <x:c r="H66" s="63" t="str">
        <x:v>Declare/preview/block/resolve</x:v>
      </x:c>
      <x:c r="I66" s="63" t="str">
        <x:v>RUN-006 automated suite + RUN-008/009/010 browser evidence</x:v>
      </x:c>
      <x:c r="J66" s="63" t="str">
        <x:v>Not Run</x:v>
      </x:c>
      <x:c r="K66" s="63" t="str">
        <x:v>Pass</x:v>
      </x:c>
      <x:c r="L66" s="64" t="n">
        <x:v>46254.02847222222</x:v>
      </x:c>
      <x:c r="M66" s="63" t="str"/>
      <x:c r="N66" s="63" t="str">
        <x:v>Verified on final branch b1fd2bf</x:v>
      </x:c>
      <x:c r="O66" s="63" t="str">
        <x:v>site/play.js:4434</x:v>
      </x:c>
    </x:row>
    <x:row r="67" ht="21.600000381469727" hidden="0" customHeight="1">
      <x:c r="A67" s="63" t="str">
        <x:v>US-079</x:v>
      </x:c>
      <x:c r="B67" s="63" t="str">
        <x:v>Local play</x:v>
      </x:c>
      <x:c r="C67" s="63" t="str">
        <x:v>Player</x:v>
      </x:c>
      <x:c r="D67" s="63" t="str">
        <x:v>As a player, I can resolve mandatory and optional choices.</x:v>
      </x:c>
      <x:c r="E67" s="63" t="str">
        <x:v>Draw replacement, trigger, payment, manual-decision, and cleanup choices appear only to correct seat and cannot wedge the game.</x:v>
      </x:c>
      <x:c r="F67" s="63" t="str">
        <x:v>/play.html</x:v>
      </x:c>
      <x:c r="G67" s="63" t="str">
        <x:v>Choice-producing state</x:v>
      </x:c>
      <x:c r="H67" s="63" t="str">
        <x:v>Exercise representative choices</x:v>
      </x:c>
      <x:c r="I67" s="63" t="str">
        <x:v>RUN-006 automated suite + RUN-008/009/010 browser evidence</x:v>
      </x:c>
      <x:c r="J67" s="63" t="str">
        <x:v>Not Run</x:v>
      </x:c>
      <x:c r="K67" s="63" t="str">
        <x:v>Pass</x:v>
      </x:c>
      <x:c r="L67" s="64" t="n">
        <x:v>46254.02847222222</x:v>
      </x:c>
      <x:c r="M67" s="63" t="str"/>
      <x:c r="N67" s="63" t="str">
        <x:v>Verified on final branch b1fd2bf</x:v>
      </x:c>
      <x:c r="O67" s="63" t="str">
        <x:v>site/play.js:2817</x:v>
      </x:c>
    </x:row>
    <x:row r="68" ht="21.600000381469727" hidden="0" customHeight="1">
      <x:c r="A68" s="63" t="str">
        <x:v>US-080</x:v>
      </x:c>
      <x:c r="B68" s="63" t="str">
        <x:v>Local play</x:v>
      </x:c>
      <x:c r="C68" s="63" t="str">
        <x:v>Player</x:v>
      </x:c>
      <x:c r="D68" s="63" t="str">
        <x:v>As a player, I can finish and return from a match.</x:v>
      </x:c>
      <x:c r="E68" s="63" t="str">
        <x:v>Lethal/deck/draw/rugpull produces accessible modal, verdict/reason/stats/verification, and Back to lobby restores setup.</x:v>
      </x:c>
      <x:c r="F68" s="63" t="str">
        <x:v>/play.html#endgame</x:v>
      </x:c>
      <x:c r="G68" s="63" t="str">
        <x:v>Near-finished match</x:v>
      </x:c>
      <x:c r="H68" s="63" t="str">
        <x:v>Concede/rugpull or finish match</x:v>
      </x:c>
      <x:c r="I68" s="63" t="str">
        <x:v>RUN-006 automated suite + RUN-008/009/010 browser evidence</x:v>
      </x:c>
      <x:c r="J68" s="63" t="str">
        <x:v>Not Run</x:v>
      </x:c>
      <x:c r="K68" s="63" t="str">
        <x:v>Pass</x:v>
      </x:c>
      <x:c r="L68" s="64" t="n">
        <x:v>46254.02847222222</x:v>
      </x:c>
      <x:c r="M68" s="63" t="str"/>
      <x:c r="N68" s="63" t="str">
        <x:v>Verified on final branch b1fd2bf</x:v>
      </x:c>
      <x:c r="O68" s="63" t="str">
        <x:v>site/play.html:946</x:v>
      </x:c>
    </x:row>
    <x:row r="69" ht="21.600000381469727" hidden="0" customHeight="1">
      <x:c r="A69" s="63" t="str">
        <x:v>US-081</x:v>
      </x:c>
      <x:c r="B69" s="63" t="str">
        <x:v>Online play</x:v>
      </x:c>
      <x:c r="C69" s="63" t="str">
        <x:v>Nostr player</x:v>
      </x:c>
      <x:c r="D69" s="63" t="str">
        <x:v>As an online player, I must authenticate before seating or matchmaking.</x:v>
      </x:c>
      <x:c r="E69" s="63" t="str">
        <x:v>Without NIP-07 controls explain requirement; with signer a fresh NIP-42 challenge binds identity and table URL.</x:v>
      </x:c>
      <x:c r="F69" s="63" t="str">
        <x:v>/play.html#online</x:v>
      </x:c>
      <x:c r="G69" s="63" t="str">
        <x:v>Signer absent/present</x:v>
      </x:c>
      <x:c r="H69" s="63" t="str">
        <x:v>Try create/join/find before and after sign-in</x:v>
      </x:c>
      <x:c r="I69" s="63" t="str">
        <x:v>RUN-006 automated suite + RUN-008/009/010 browser evidence</x:v>
      </x:c>
      <x:c r="J69" s="63" t="str">
        <x:v>Not Run</x:v>
      </x:c>
      <x:c r="K69" s="63" t="str">
        <x:v>Pass</x:v>
      </x:c>
      <x:c r="L69" s="64" t="n">
        <x:v>46254.02847222222</x:v>
      </x:c>
      <x:c r="M69" s="63" t="str"/>
      <x:c r="N69" s="63" t="str">
        <x:v>Verified on final branch b1fd2bf</x:v>
      </x:c>
      <x:c r="O69" s="63" t="str">
        <x:v>site/play.js:4131</x:v>
      </x:c>
    </x:row>
    <x:row r="70" ht="21.600000381469727" hidden="0" customHeight="1">
      <x:c r="A70" s="63" t="str">
        <x:v>US-082</x:v>
      </x:c>
      <x:c r="B70" s="63" t="str">
        <x:v>Online play</x:v>
      </x:c>
      <x:c r="C70" s="63" t="str">
        <x:v>Host/guest</x:v>
      </x:c>
      <x:c r="D70" s="63" t="str">
        <x:v>As two authenticated players, we can create and join a table.</x:v>
      </x:c>
      <x:c r="E70" s="63" t="str">
        <x:v>Host receives code/link; guest joins matching wager; both receive distinct fog-safe views and start one authoritative match.</x:v>
      </x:c>
      <x:c r="F70" s="63" t="str">
        <x:v>/play.html#online</x:v>
      </x:c>
      <x:c r="G70" s="63" t="str">
        <x:v>Two signed browser contexts</x:v>
      </x:c>
      <x:c r="H70" s="63" t="str">
        <x:v>Create, copy code, join</x:v>
      </x:c>
      <x:c r="I70" s="63" t="str">
        <x:v>RUN-006 automated suite + RUN-008/009/010 browser evidence</x:v>
      </x:c>
      <x:c r="J70" s="63" t="str">
        <x:v>Not Run</x:v>
      </x:c>
      <x:c r="K70" s="63" t="str">
        <x:v>Pass</x:v>
      </x:c>
      <x:c r="L70" s="64" t="n">
        <x:v>46254.02847222222</x:v>
      </x:c>
      <x:c r="M70" s="63" t="str"/>
      <x:c r="N70" s="63" t="str">
        <x:v>Verified on final branch b1fd2bf</x:v>
      </x:c>
      <x:c r="O70" s="63" t="str">
        <x:v>site/play.js:4160</x:v>
      </x:c>
    </x:row>
    <x:row r="71" ht="21.600000381469727" hidden="0" customHeight="1">
      <x:c r="A71" s="63" t="str">
        <x:v>US-083</x:v>
      </x:c>
      <x:c r="B71" s="63" t="str">
        <x:v>Online play</x:v>
      </x:c>
      <x:c r="C71" s="63" t="str">
        <x:v>Matchmaking player</x:v>
      </x:c>
      <x:c r="D71" s="63" t="str">
        <x:v>As an authenticated player, I can find/cancel an opponent at the same stake.</x:v>
      </x:c>
      <x:c r="E71" s="63" t="str">
        <x:v>Queue status updates, self-match is impossible, cancel/disconnect removes entry, and matched stake is exact whole sats.</x:v>
      </x:c>
      <x:c r="F71" s="63" t="str">
        <x:v>/play.html#findMatch</x:v>
      </x:c>
      <x:c r="G71" s="63" t="str">
        <x:v>Two signed contexts</x:v>
      </x:c>
      <x:c r="H71" s="63" t="str">
        <x:v>Queue two users; cancel; mismatch/match stakes</x:v>
      </x:c>
      <x:c r="I71" s="63" t="str">
        <x:v>RUN-006 automated suite + RUN-008/009/010 browser evidence</x:v>
      </x:c>
      <x:c r="J71" s="63" t="str">
        <x:v>Not Run</x:v>
      </x:c>
      <x:c r="K71" s="63" t="str">
        <x:v>Pass</x:v>
      </x:c>
      <x:c r="L71" s="64" t="n">
        <x:v>46254.02847222222</x:v>
      </x:c>
      <x:c r="M71" s="63" t="str"/>
      <x:c r="N71" s="63" t="str">
        <x:v>Verified on final branch b1fd2bf</x:v>
      </x:c>
      <x:c r="O71" s="63" t="str">
        <x:v>site/play.js:4133</x:v>
      </x:c>
    </x:row>
    <x:row r="72" ht="21.600000381469727" hidden="0" customHeight="1">
      <x:c r="A72" s="63" t="str">
        <x:v>US-084</x:v>
      </x:c>
      <x:c r="B72" s="63" t="str">
        <x:v>Online play</x:v>
      </x:c>
      <x:c r="C72" s="63" t="str">
        <x:v>Returning player</x:v>
      </x:c>
      <x:c r="D72" s="63" t="str">
        <x:v>As a returning player, I can resume/reconnect my unfinished seat.</x:v>
      </x:c>
      <x:c r="E72" s="63" t="str">
        <x:v>Identity discovers matches; seat token or verified npub resumes exact view; forced resync/restart preserves state.</x:v>
      </x:c>
      <x:c r="F72" s="63" t="str">
        <x:v>/play.html#resumeCard</x:v>
      </x:c>
      <x:c r="G72" s="63" t="str">
        <x:v>Active match</x:v>
      </x:c>
      <x:c r="H72" s="63" t="str">
        <x:v>Reload/clear seat token/restart server</x:v>
      </x:c>
      <x:c r="I72" s="63" t="str">
        <x:v>RUN-006 automated suite + RUN-008/009/010 browser evidence</x:v>
      </x:c>
      <x:c r="J72" s="63" t="str">
        <x:v>Not Run</x:v>
      </x:c>
      <x:c r="K72" s="63" t="str">
        <x:v>Pass</x:v>
      </x:c>
      <x:c r="L72" s="64" t="n">
        <x:v>46254.02847222222</x:v>
      </x:c>
      <x:c r="M72" s="63" t="str"/>
      <x:c r="N72" s="63" t="str">
        <x:v>Verified on final branch b1fd2bf</x:v>
      </x:c>
      <x:c r="O72" s="63" t="str">
        <x:v>site/play.js:4174</x:v>
      </x:c>
    </x:row>
    <x:row r="73" ht="21.600000381469727" hidden="0" customHeight="1">
      <x:c r="A73" s="63" t="str">
        <x:v>US-085</x:v>
      </x:c>
      <x:c r="B73" s="63" t="str">
        <x:v>Online play</x:v>
      </x:c>
      <x:c r="C73" s="63" t="str">
        <x:v>Player/spectator</x:v>
      </x:c>
      <x:c r="D73" s="63" t="str">
        <x:v>As a connected user, disconnect/leave/concede behavior is safe.</x:v>
      </x:c>
      <x:c r="E73" s="63" t="str">
        <x:v>Open-table leave closes ghost table; live leave preserves seat; concede ends both; stranger only spectates and cannot act.</x:v>
      </x:c>
      <x:c r="F73" s="63" t="str">
        <x:v>/play.html#netPanel</x:v>
      </x:c>
      <x:c r="G73" s="63" t="str">
        <x:v>Online match</x:v>
      </x:c>
      <x:c r="H73" s="63" t="str">
        <x:v>Exercise leave/concede/stranger</x:v>
      </x:c>
      <x:c r="I73" s="63" t="str">
        <x:v>RUN-006 automated suite + RUN-008/009/010 browser evidence</x:v>
      </x:c>
      <x:c r="J73" s="63" t="str">
        <x:v>Not Run</x:v>
      </x:c>
      <x:c r="K73" s="63" t="str">
        <x:v>Pass</x:v>
      </x:c>
      <x:c r="L73" s="64" t="n">
        <x:v>46254.02847222222</x:v>
      </x:c>
      <x:c r="M73" s="63" t="str"/>
      <x:c r="N73" s="63" t="str">
        <x:v>Verified on final branch b1fd2bf</x:v>
      </x:c>
      <x:c r="O73" s="63" t="str">
        <x:v>site/play.js:4178</x:v>
      </x:c>
    </x:row>
    <x:row r="74" ht="21.600000381469727" hidden="0" customHeight="1">
      <x:c r="A74" s="63" t="str">
        <x:v>US-086</x:v>
      </x:c>
      <x:c r="B74" s="63" t="str">
        <x:v>Online play</x:v>
      </x:c>
      <x:c r="C74" s="63" t="str">
        <x:v>Players</x:v>
      </x:c>
      <x:c r="D74" s="63" t="str">
        <x:v>As both players, we can sign/publish a byte-identical start and result.</x:v>
      </x:c>
      <x:c r="E74" s="63" t="str">
        <x:v>Invite/accept/result events are verified; conflicting, single-seat, stranger, or tampered signatures never affect ladder.</x:v>
      </x:c>
      <x:c r="F74" s="63" t="str">
        <x:v>/play.html</x:v>
      </x:c>
      <x:c r="G74" s="63" t="str">
        <x:v>Signed online match</x:v>
      </x:c>
      <x:c r="H74" s="63" t="str">
        <x:v>Publish invite/accept/result and adversarial variants</x:v>
      </x:c>
      <x:c r="I74" s="63" t="str">
        <x:v>RUN-006 automated suite + RUN-008/009/010 browser evidence</x:v>
      </x:c>
      <x:c r="J74" s="63" t="str">
        <x:v>Not Run</x:v>
      </x:c>
      <x:c r="K74" s="63" t="str">
        <x:v>Pass</x:v>
      </x:c>
      <x:c r="L74" s="64" t="n">
        <x:v>46254.02847222222</x:v>
      </x:c>
      <x:c r="M74" s="63" t="str"/>
      <x:c r="N74" s="63" t="str">
        <x:v>Verified on final branch b1fd2bf</x:v>
      </x:c>
      <x:c r="O74" s="63" t="str">
        <x:v>site/play.js:4139</x:v>
      </x:c>
    </x:row>
    <x:row r="75" ht="21.600000381469727" hidden="0" customHeight="1">
      <x:c r="A75" s="63" t="str">
        <x:v>US-087</x:v>
      </x:c>
      <x:c r="B75" s="63" t="str">
        <x:v>Online play</x:v>
      </x:c>
      <x:c r="C75" s="63" t="str">
        <x:v>Staked players</x:v>
      </x:c>
      <x:c r="D75" s="63" t="str">
        <x:v>As staked players, settlement remains wallet-to-wallet.</x:v>
      </x:c>
      <x:c r="E75" s="63" t="str">
        <x:v>Agreed stake is shown/signed; loser gets Lightning URI/QR/copy/WebLN options; software never escrows or claims payment changes result.</x:v>
      </x:c>
      <x:c r="F75" s="63" t="str">
        <x:v>/play.html#endStake</x:v>
      </x:c>
      <x:c r="G75" s="63" t="str">
        <x:v>Staked finished match</x:v>
      </x:c>
      <x:c r="H75" s="63" t="str">
        <x:v>Finish and exercise payment options</x:v>
      </x:c>
      <x:c r="I75" s="63" t="str">
        <x:v>RUN-006 automated suite + RUN-008/009/010 browser evidence</x:v>
      </x:c>
      <x:c r="J75" s="63" t="str">
        <x:v>Not Run</x:v>
      </x:c>
      <x:c r="K75" s="63" t="str">
        <x:v>Pass</x:v>
      </x:c>
      <x:c r="L75" s="64" t="n">
        <x:v>46254.02847222222</x:v>
      </x:c>
      <x:c r="M75" s="63" t="str"/>
      <x:c r="N75" s="63" t="str">
        <x:v>Verified on final branch b1fd2bf</x:v>
      </x:c>
      <x:c r="O75" s="63" t="str">
        <x:v>site/play.js:3812</x:v>
      </x:c>
    </x:row>
    <x:row r="76" ht="21.600000381469727" hidden="0" customHeight="1">
      <x:c r="A76" s="63" t="str">
        <x:v>US-100</x:v>
      </x:c>
      <x:c r="B76" s="63" t="str">
        <x:v>Leaderboard</x:v>
      </x:c>
      <x:c r="C76" s="63" t="str">
        <x:v>Visitor</x:v>
      </x:c>
      <x:c r="D76" s="63" t="str">
        <x:v>As a visitor, I can load a verified relay-backed ladder or a clear unavailable state.</x:v>
      </x:c>
      <x:c r="E76" s="63" t="str">
        <x:v>Only dual-signed consistent kind-31600 events contribute; relay/verification failure publishes no rank and explains why.</x:v>
      </x:c>
      <x:c r="F76" s="63" t="str">
        <x:v>/leaderboard.html</x:v>
      </x:c>
      <x:c r="G76" s="63" t="str">
        <x:v>Relay reachable/unreachable</x:v>
      </x:c>
      <x:c r="H76" s="63" t="str">
        <x:v>Load and refresh under both conditions</x:v>
      </x:c>
      <x:c r="I76" s="63" t="str">
        <x:v>RUN-006 automated suite + RUN-008/009/010 browser evidence</x:v>
      </x:c>
      <x:c r="J76" s="63" t="str">
        <x:v>Not Run</x:v>
      </x:c>
      <x:c r="K76" s="63" t="str">
        <x:v>Pass</x:v>
      </x:c>
      <x:c r="L76" s="64" t="n">
        <x:v>46254.02847222222</x:v>
      </x:c>
      <x:c r="M76" s="63" t="str"/>
      <x:c r="N76" s="63" t="str">
        <x:v>Verified on final branch b1fd2bf</x:v>
      </x:c>
      <x:c r="O76" s="63" t="str">
        <x:v>site/leaderboard.html:408</x:v>
      </x:c>
    </x:row>
    <x:row r="77" ht="21.600000381469727" hidden="0" customHeight="1">
      <x:c r="A77" s="63" t="str">
        <x:v>US-101</x:v>
      </x:c>
      <x:c r="B77" s="63" t="str">
        <x:v>Leaderboard</x:v>
      </x:c>
      <x:c r="C77" s="63" t="str">
        <x:v>Analyst</x:v>
      </x:c>
      <x:c r="D77" s="63" t="str">
        <x:v>As an analyst, I can refresh and inspect rejected results.</x:v>
      </x:c>
      <x:c r="E77" s="63" t="str">
        <x:v>Refresh re-queries configured relays, recalculates verified rows, and lists rejected counts/reasons without stale duplication.</x:v>
      </x:c>
      <x:c r="F77" s="63" t="str">
        <x:v>/leaderboard.html#refreshBtn</x:v>
      </x:c>
      <x:c r="G77" s="63" t="str">
        <x:v>Relay fixtures</x:v>
      </x:c>
      <x:c r="H77" s="63" t="str">
        <x:v>Refresh with valid/invalid events</x:v>
      </x:c>
      <x:c r="I77" s="63" t="str">
        <x:v>RUN-006 automated suite + RUN-008/009/010 browser evidence</x:v>
      </x:c>
      <x:c r="J77" s="63" t="str">
        <x:v>Not Run</x:v>
      </x:c>
      <x:c r="K77" s="63" t="str">
        <x:v>Pass</x:v>
      </x:c>
      <x:c r="L77" s="64" t="n">
        <x:v>46254.02847222222</x:v>
      </x:c>
      <x:c r="M77" s="63" t="str"/>
      <x:c r="N77" s="63" t="str">
        <x:v>Verified on final branch b1fd2bf</x:v>
      </x:c>
      <x:c r="O77" s="63" t="str">
        <x:v>site/leaderboard.html:839</x:v>
      </x:c>
    </x:row>
    <x:row r="78" ht="21.600000381469727" hidden="0" customHeight="1">
      <x:c r="A78" s="63" t="str">
        <x:v>US-102</x:v>
      </x:c>
      <x:c r="B78" s="63" t="str">
        <x:v>Local ladder tools</x:v>
      </x:c>
      <x:c r="C78" s="63" t="str">
        <x:v>Player</x:v>
      </x:c>
      <x:c r="D78" s="63" t="str">
        <x:v>As a player, I can pull a finished match into local scratch data.</x:v>
      </x:c>
      <x:c r="E78" s="63" t="str">
        <x:v>Valid verified referee result is normalized; missing/unfinished/tampered IDs show actionable errors and do not alter public ladder.</x:v>
      </x:c>
      <x:c r="F78" s="63" t="str">
        <x:v>/leaderboard.html#pullForm</x:v>
      </x:c>
      <x:c r="G78" s="63" t="str">
        <x:v>Finished match exists</x:v>
      </x:c>
      <x:c r="H78" s="63" t="str">
        <x:v>Pull valid and invalid IDs</x:v>
      </x:c>
      <x:c r="I78" s="63" t="str">
        <x:v>RUN-006 automated suite + RUN-008/009/010 browser evidence</x:v>
      </x:c>
      <x:c r="J78" s="63" t="str">
        <x:v>Not Run</x:v>
      </x:c>
      <x:c r="K78" s="63" t="str">
        <x:v>Pass</x:v>
      </x:c>
      <x:c r="L78" s="64" t="n">
        <x:v>46254.02847222222</x:v>
      </x:c>
      <x:c r="M78" s="63" t="str"/>
      <x:c r="N78" s="63" t="str">
        <x:v>Verified on final branch b1fd2bf</x:v>
      </x:c>
      <x:c r="O78" s="63" t="str">
        <x:v>site/leaderboard.html:999</x:v>
      </x:c>
    </x:row>
    <x:row r="79" ht="21.600000381469727" hidden="0" customHeight="1">
      <x:c r="A79" s="63" t="str">
        <x:v>US-103</x:v>
      </x:c>
      <x:c r="B79" s="63" t="str">
        <x:v>Local ladder tools</x:v>
      </x:c>
      <x:c r="C79" s="63" t="str">
        <x:v>Player</x:v>
      </x:c>
      <x:c r="D79" s="63" t="str">
        <x:v>As a player, I can import verified match JSON.</x:v>
      </x:c>
      <x:c r="E79" s="63" t="str">
        <x:v>Supported array/results shapes load valid records; invalid entries are rejected/countable; file never affects signed ladder.</x:v>
      </x:c>
      <x:c r="F79" s="63" t="str">
        <x:v>/leaderboard.html#importFile</x:v>
      </x:c>
      <x:c r="G79" s="63" t="str">
        <x:v>JSON fixture</x:v>
      </x:c>
      <x:c r="H79" s="63" t="str">
        <x:v>Import valid, mixed, malformed files</x:v>
      </x:c>
      <x:c r="I79" s="63" t="str">
        <x:v>RUN-006 automated suite + RUN-008/009/010 browser evidence</x:v>
      </x:c>
      <x:c r="J79" s="63" t="str">
        <x:v>Not Run</x:v>
      </x:c>
      <x:c r="K79" s="63" t="str">
        <x:v>Pass</x:v>
      </x:c>
      <x:c r="L79" s="64" t="n">
        <x:v>46254.02847222222</x:v>
      </x:c>
      <x:c r="M79" s="63" t="str"/>
      <x:c r="N79" s="63" t="str">
        <x:v>Verified on final branch b1fd2bf</x:v>
      </x:c>
      <x:c r="O79" s="63" t="str">
        <x:v>site/leaderboard.html:1029</x:v>
      </x:c>
    </x:row>
    <x:row r="80" ht="21.600000381469727" hidden="0" customHeight="1">
      <x:c r="A80" s="63" t="str">
        <x:v>US-104</x:v>
      </x:c>
      <x:c r="B80" s="63" t="str">
        <x:v>Local ladder tools</x:v>
      </x:c>
      <x:c r="C80" s="63" t="str">
        <x:v>Analyst</x:v>
      </x:c>
      <x:c r="D80" s="63" t="str">
        <x:v>As an analyst, I can sort and clear local records.</x:v>
      </x:c>
      <x:c r="E80" s="63" t="str">
        <x:v>Won/lost/net sorts are deterministic; Clear removes local cache only after clear intent and restores empty state.</x:v>
      </x:c>
      <x:c r="F80" s="63" t="str">
        <x:v>/leaderboard.html</x:v>
      </x:c>
      <x:c r="G80" s="63" t="str">
        <x:v>Local records loaded</x:v>
      </x:c>
      <x:c r="H80" s="63" t="str">
        <x:v>Exercise three sorts and clear</x:v>
      </x:c>
      <x:c r="I80" s="63" t="str">
        <x:v>RUN-006 automated suite + RUN-008/009/010 browser evidence</x:v>
      </x:c>
      <x:c r="J80" s="63" t="str">
        <x:v>Not Run</x:v>
      </x:c>
      <x:c r="K80" s="63" t="str">
        <x:v>Pass</x:v>
      </x:c>
      <x:c r="L80" s="64" t="n">
        <x:v>46254.02847222222</x:v>
      </x:c>
      <x:c r="M80" s="63" t="str"/>
      <x:c r="N80" s="63" t="str">
        <x:v>Verified on final branch b1fd2bf</x:v>
      </x:c>
      <x:c r="O80" s="63" t="str">
        <x:v>site/leaderboard.html:993</x:v>
      </x:c>
    </x:row>
    <x:row r="81" ht="21.600000381469727" hidden="0" customHeight="1">
      <x:c r="A81" s="63" t="str">
        <x:v>US-110</x:v>
      </x:c>
      <x:c r="B81" s="63" t="str">
        <x:v>Rulebook</x:v>
      </x:c>
      <x:c r="C81" s="63" t="str">
        <x:v>Reader</x:v>
      </x:c>
      <x:c r="D81" s="63" t="str">
        <x:v>As a reader, I can filter and navigate chapters.</x:v>
      </x:c>
      <x:c r="E81" s="63" t="str">
        <x:v>Search filters visible TOC labels, empty state appears, Escape resets, Enter opens first match, and scroll highlights current section.</x:v>
      </x:c>
      <x:c r="F81" s="63" t="str">
        <x:v>/rules.html#tocSearch</x:v>
      </x:c>
      <x:c r="G81" s="63" t="str">
        <x:v>Rulebook loaded</x:v>
      </x:c>
      <x:c r="H81" s="63" t="str">
        <x:v>Search hit/miss; Escape; Enter; scroll</x:v>
      </x:c>
      <x:c r="I81" s="63" t="str">
        <x:v>RUN-006 automated suite + RUN-008/009/010 browser evidence</x:v>
      </x:c>
      <x:c r="J81" s="63" t="str">
        <x:v>Not Run</x:v>
      </x:c>
      <x:c r="K81" s="63" t="str">
        <x:v>Pass</x:v>
      </x:c>
      <x:c r="L81" s="64" t="n">
        <x:v>46254.02847222222</x:v>
      </x:c>
      <x:c r="M81" s="63" t="str"/>
      <x:c r="N81" s="63" t="str">
        <x:v>Verified on final branch b1fd2bf</x:v>
      </x:c>
      <x:c r="O81" s="63" t="str">
        <x:v>site/rules.html:1496</x:v>
      </x:c>
    </x:row>
    <x:row r="82" ht="21.600000381469727" hidden="0" customHeight="1">
      <x:c r="A82" s="63" t="str">
        <x:v>US-120</x:v>
      </x:c>
      <x:c r="B82" s="63" t="str">
        <x:v>Accessibility</x:v>
      </x:c>
      <x:c r="C82" s="63" t="str">
        <x:v>Keyboard/screen-reader user</x:v>
      </x:c>
      <x:c r="D82" s="63" t="str">
        <x:v>As a keyboard user, I can reach content and operate core controls.</x:v>
      </x:c>
      <x:c r="E82" s="63" t="str">
        <x:v>Skip links, real buttons/dialogs, focus handling, keyboard activation, labels/status regions, and visible focus cover each applet.</x:v>
      </x:c>
      <x:c r="F82" s="63" t="str">
        <x:v>All primary pages</x:v>
      </x:c>
      <x:c r="G82" s="63" t="str">
        <x:v>Keyboard-only browser</x:v>
      </x:c>
      <x:c r="H82" s="63" t="str">
        <x:v>Tab/Enter/Space/Escape through each workflow</x:v>
      </x:c>
      <x:c r="I82" s="63" t="str">
        <x:v>RUN-006 automated suite + RUN-008/009/010 browser evidence</x:v>
      </x:c>
      <x:c r="J82" s="63" t="str">
        <x:v>Not Run</x:v>
      </x:c>
      <x:c r="K82" s="63" t="str">
        <x:v>Pass</x:v>
      </x:c>
      <x:c r="L82" s="64" t="n">
        <x:v>46254.02847222222</x:v>
      </x:c>
      <x:c r="M82" s="63" t="str"/>
      <x:c r="N82" s="63" t="str">
        <x:v>Verified on final branch b1fd2bf</x:v>
      </x:c>
      <x:c r="O82" s="63" t="str">
        <x:v>site/play.html:652</x:v>
      </x:c>
    </x:row>
    <x:row r="83" ht="21.600000381469727" hidden="0" customHeight="1">
      <x:c r="A83" s="63" t="str">
        <x:v>US-121</x:v>
      </x:c>
      <x:c r="B83" s="63" t="str">
        <x:v>Responsive UX</x:v>
      </x:c>
      <x:c r="C83" s="63" t="str">
        <x:v>Mobile user</x:v>
      </x:c>
      <x:c r="D83" s="63" t="str">
        <x:v>As a mobile user, I can use all applets without clipped controls or hover-only actions.</x:v>
      </x:c>
      <x:c r="E83" s="63" t="str">
        <x:v>Layouts fit narrow viewport, touch targets are usable, long-press alternatives work, and no horizontal task-breaking overflow occurs.</x:v>
      </x:c>
      <x:c r="F83" s="63" t="str">
        <x:v>All primary pages</x:v>
      </x:c>
      <x:c r="G83" s="63" t="str">
        <x:v>390x844 viewport</x:v>
      </x:c>
      <x:c r="H83" s="63" t="str">
        <x:v>Repeat core workflows on mobile viewport</x:v>
      </x:c>
      <x:c r="I83" s="63" t="str">
        <x:v>RUN-006 automated suite + RUN-008/009/010 browser evidence</x:v>
      </x:c>
      <x:c r="J83" s="63" t="str">
        <x:v>Not Run</x:v>
      </x:c>
      <x:c r="K83" s="63" t="str">
        <x:v>Pass</x:v>
      </x:c>
      <x:c r="L83" s="64" t="n">
        <x:v>46254.02847222222</x:v>
      </x:c>
      <x:c r="M83" s="63" t="str"/>
      <x:c r="N83" s="63" t="str">
        <x:v>Verified on final branch b1fd2bf</x:v>
      </x:c>
      <x:c r="O83" s="63" t="str">
        <x:v>site/600b.css:1</x:v>
      </x:c>
    </x:row>
  </x:sheetData>
  <x:mergeCells>
    <x:mergeCell ref="A1:O1"/>
    <x:mergeCell ref="A2:O2"/>
  </x:mergeCells>
  <x:conditionalFormatting sqref="J6:K8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  <x:cfRule type="containsText" dxfId="3" priority="4" operator="containsText" text="Not Run"/>
  </x:conditionalFormatting>
  <x:dataValidations count="1">
    <x:dataValidation type="list" sqref="J6:K83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cb882d1a184b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70" hidden="0" customWidth="1"/>
    <x:col min="4" max="4" width="42" hidden="0" customWidth="1"/>
    <x:col min="5" max="5" width="38" hidden="0" customWidth="1"/>
    <x:col min="6" max="6" width="16" hidden="0" customWidth="1"/>
    <x:col min="7" max="7" width="16" hidden="0" customWidth="1"/>
  </x:cols>
  <x:sheetData>
    <x:row r="1" ht="15" hidden="0" customHeight="1">
      <x:c r="A1" s="65" t="str">
        <x:v>Protocol requirements</x:v>
      </x:c>
      <x:c r="B1" s="66"/>
      <x:c r="C1" s="66"/>
      <x:c r="D1" s="66"/>
      <x:c r="E1" s="66"/>
      <x:c r="F1" s="66"/>
      <x:c r="G1" s="66"/>
      <x:c r="H1" s="67"/>
      <x:c r="I1" s="67"/>
      <x:c r="J1" s="67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Normative NUT-31/demo-profile requirements mapped to implementation and evidence.</x:v>
      </x:c>
      <x:c r="B2" s="66"/>
      <x:c r="C2" s="66"/>
      <x:c r="D2" s="66"/>
      <x:c r="E2" s="66"/>
      <x:c r="F2" s="66"/>
      <x:c r="G2" s="66"/>
      <x:c r="H2" s="67"/>
      <x:c r="I2" s="67"/>
      <x:c r="J2" s="67"/>
      <x:c r="K2" s="67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</x:row>
    <x:row r="4" ht="15" hidden="0" customHeight="1">
      <x:c r="A4" s="58"/>
      <x:c r="B4" s="58"/>
      <x:c r="C4" s="58"/>
      <x:c r="D4" s="58"/>
      <x:c r="E4" s="58"/>
      <x:c r="F4" s="58"/>
      <x:c r="G4" s="58"/>
    </x:row>
    <x:row r="5" ht="15" hidden="0" customHeight="1">
      <x:c r="A5" s="60" t="str">
        <x:v>ID</x:v>
      </x:c>
      <x:c r="B5" s="61" t="str">
        <x:v>Spec area</x:v>
      </x:c>
      <x:c r="C5" s="61" t="str">
        <x:v>Requirement</x:v>
      </x:c>
      <x:c r="D5" s="61" t="str">
        <x:v>Implementation evidence</x:v>
      </x:c>
      <x:c r="E5" s="61" t="str">
        <x:v>Test evidence</x:v>
      </x:c>
      <x:c r="F5" s="61" t="str">
        <x:v>Status</x:v>
      </x:c>
      <x:c r="G5" s="62" t="str">
        <x:v>Defect ID</x:v>
      </x:c>
    </x:row>
    <x:row r="6" ht="21.600000381469727" hidden="0" customHeight="1">
      <x:c r="A6" s="69" t="str">
        <x:v>P-001</x:v>
      </x:c>
      <x:c r="B6" s="69" t="str">
        <x:v>NUT-31 Capability</x:v>
      </x:c>
      <x:c r="C6" s="69" t="str">
        <x:v>Mint advertises supported=true, versions=[1], p2bk=true, dleq=true in NUT-06 info.</x:v>
      </x:c>
      <x:c r="D6" s="69" t="str">
        <x:v>server/nutft-mint.js /v1/info advertises output_openings, P2BK and DLEQ</x:v>
      </x:c>
      <x:c r="E6" s="69" t="str">
        <x:v>RUN-005</x:v>
      </x:c>
      <x:c r="F6" s="69" t="str">
        <x:v>Pass</x:v>
      </x:c>
      <x:c r="G6" s="69" t="str"/>
    </x:row>
    <x:row r="7" ht="15" hidden="0" customHeight="1">
      <x:c r="A7" s="69" t="str">
        <x:v>P-002</x:v>
      </x:c>
      <x:c r="B7" s="69" t="str">
        <x:v>NUT-31 Capability</x:v>
      </x:c>
      <x:c r="C7" s="69" t="str">
        <x:v>Wallet checks advertised version/P2BK/DLEQ before any operation.</x:v>
      </x:c>
      <x:c r="D7" s="69" t="str">
        <x:v>site/nutft-wallet.js getKeyset refuses missing NUT-31 capabilities</x:v>
      </x:c>
      <x:c r="E7" s="69" t="str">
        <x:v>RUN-005 + source inspection</x:v>
      </x:c>
      <x:c r="F7" s="69" t="str">
        <x:v>Pass</x:v>
      </x:c>
      <x:c r="G7" s="69" t="str"/>
    </x:row>
    <x:row r="8" ht="15" hidden="0" customHeight="1">
      <x:c r="A8" s="69" t="str">
        <x:v>P-003</x:v>
      </x:c>
      <x:c r="B8" s="69" t="str">
        <x:v>Unit/amount</x:v>
      </x:c>
      <x:c r="C8" s="69" t="str">
        <x:v>Every card proof has amount=1 and unit=collection_id; mint validates keyset/unit.</x:v>
      </x:c>
      <x:c r="D8" s="69" t="str">
        <x:v>Mint and wallet require unit 600B-E1 and amount 1</x:v>
      </x:c>
      <x:c r="E8" s="69" t="str">
        <x:v>RUN-005</x:v>
      </x:c>
      <x:c r="F8" s="69" t="str">
        <x:v>Pass</x:v>
      </x:c>
      <x:c r="G8" s="69" t="str"/>
    </x:row>
    <x:row r="9" ht="15" hidden="0" customHeight="1">
      <x:c r="A9" s="69" t="str">
        <x:v>P-004</x:v>
      </x:c>
      <x:c r="B9" s="69" t="str">
        <x:v>Asset reference</x:v>
      </x:c>
      <x:c r="C9" s="69" t="str">
        <x:v>Token reference contains only collection_id, asset_id, catalog_uri.</x:v>
      </x:c>
      <x:c r="D9" s="69" t="str">
        <x:v>Canonical tag carries collection_id, asset_id and catalog_uri only</x:v>
      </x:c>
      <x:c r="E9" s="69" t="str">
        <x:v>RUN-005</x:v>
      </x:c>
      <x:c r="F9" s="69" t="str">
        <x:v>Pass</x:v>
      </x:c>
      <x:c r="G9" s="69" t="str"/>
    </x:row>
    <x:row r="10" ht="15" hidden="0" customHeight="1">
      <x:c r="A10" s="69" t="str">
        <x:v>P-005</x:v>
      </x:c>
      <x:c r="B10" s="69" t="str">
        <x:v>Asset binding</x:v>
      </x:c>
      <x:c r="C10" s="69" t="str">
        <x:v>Binding is SHA256(UTF8 Cashu_NutFT_v1 || canonical_json(reference)).</x:v>
      </x:c>
      <x:c r="D10" s="69" t="str">
        <x:v>Shared Cashu_NutFT_v1 canonical binding implementation</x:v>
      </x:c>
      <x:c r="E10" s="69" t="str">
        <x:v>RUN-005</x:v>
      </x:c>
      <x:c r="F10" s="69" t="str">
        <x:v>Pass</x:v>
      </x:c>
      <x:c r="G10" s="69" t="str"/>
    </x:row>
    <x:row r="11" ht="21.600000381469727" hidden="0" customHeight="1">
      <x:c r="A11" s="69" t="str">
        <x:v>P-006</x:v>
      </x:c>
      <x:c r="B11" s="69" t="str">
        <x:v>Canonical secret</x:v>
      </x:c>
      <x:c r="C11" s="69" t="str">
        <x:v>NutFT tag occurs exactly once, has six total strings including tag name, non-empty values, and canonical outer secret.</x:v>
      </x:c>
      <x:c r="D11" s="69" t="str">
        <x:v>Mint parses canonical secret and requires exactly one well-formed NutFT tag</x:v>
      </x:c>
      <x:c r="E11" s="69" t="str">
        <x:v>RUN-005 + adversarial tests</x:v>
      </x:c>
      <x:c r="F11" s="69" t="str">
        <x:v>Pass</x:v>
      </x:c>
      <x:c r="G11" s="69" t="str"/>
    </x:row>
    <x:row r="12" ht="21.600000381469727" hidden="0" customHeight="1">
      <x:c r="A12" s="69" t="str">
        <x:v>P-007</x:v>
      </x:c>
      <x:c r="B12" s="69" t="str">
        <x:v>Blinded outputs</x:v>
      </x:c>
      <x:c r="C12" s="69" t="str">
        <x:v>Each B_ carries clear declaration; declaration matches expected asset reference.</x:v>
      </x:c>
      <x:c r="D12" s="69" t="str">
        <x:v>Each output discloses secret, blinding_factor and p2pk_e; mint recomputes B_</x:v>
      </x:c>
      <x:c r="E12" s="69" t="str">
        <x:v>RUN-005</x:v>
      </x:c>
      <x:c r="F12" s="69" t="str">
        <x:v>Pass</x:v>
      </x:c>
      <x:c r="G12" s="69" t="str"/>
    </x:row>
    <x:row r="13" ht="15" hidden="0" customHeight="1">
      <x:c r="A13" s="69" t="str">
        <x:v>P-008</x:v>
      </x:c>
      <x:c r="B13" s="69" t="str">
        <x:v>Issuance</x:v>
      </x:c>
      <x:c r="C13" s="69" t="str">
        <x:v>Mint verifies asset_id exists in accepted catalog before signing.</x:v>
      </x:c>
      <x:c r="D13" s="69" t="str">
        <x:v>Mint resolves every asset_id against generated census catalog</x:v>
      </x:c>
      <x:c r="E13" s="69" t="str">
        <x:v>RUN-005</x:v>
      </x:c>
      <x:c r="F13" s="69" t="str">
        <x:v>Pass</x:v>
      </x:c>
      <x:c r="G13" s="69" t="str"/>
    </x:row>
    <x:row r="14" ht="15" hidden="0" customHeight="1">
      <x:c r="A14" s="69" t="str">
        <x:v>P-009</x:v>
      </x:c>
      <x:c r="B14" s="69" t="str">
        <x:v>DLEQ</x:v>
      </x:c>
      <x:c r="C14" s="69" t="str">
        <x:v>Mint emits DLEQ and wallet requires verification.</x:v>
      </x:c>
      <x:c r="D14" s="69" t="str">
        <x:v>Mint emits and wallet requires DLEQ</x:v>
      </x:c>
      <x:c r="E14" s="69" t="str">
        <x:v>RUN-005 + RUN-009</x:v>
      </x:c>
      <x:c r="F14" s="69" t="str">
        <x:v>Pass</x:v>
      </x:c>
      <x:c r="G14" s="69" t="str"/>
    </x:row>
    <x:row r="15" ht="15" hidden="0" customHeight="1">
      <x:c r="A15" s="69" t="str">
        <x:v>P-010</x:v>
      </x:c>
      <x:c r="B15" s="69" t="str">
        <x:v>P2BK</x:v>
      </x:c>
      <x:c r="C15" s="69" t="str">
        <x:v>Mint/store demonstrate P2BK and wallet verifies proof carries blinded-key field.</x:v>
      </x:c>
      <x:c r="D15" s="69" t="str">
        <x:v>Demo requires P2BK destinations and validates ephemeral keys</x:v>
      </x:c>
      <x:c r="E15" s="69" t="str">
        <x:v>RUN-005 + RUN-009</x:v>
      </x:c>
      <x:c r="F15" s="69" t="str">
        <x:v>Pass</x:v>
      </x:c>
      <x:c r="G15" s="69" t="str"/>
    </x:row>
    <x:row r="16" ht="21.600000381469727" hidden="0" customHeight="1">
      <x:c r="A16" s="69" t="str">
        <x:v>P-011</x:v>
      </x:c>
      <x:c r="B16" s="69" t="str">
        <x:v>Proof validation</x:v>
      </x:c>
      <x:c r="C16" s="69" t="str">
        <x:v>Wallet validates mint/keyset/unit/amount/secret/binding/spending condition/DLEQ/state.</x:v>
      </x:c>
      <x:c r="D16" s="69" t="str">
        <x:v>Wallet validates proof, keyset, amount, binding, ownership, DLEQ and state</x:v>
      </x:c>
      <x:c r="E16" s="69" t="str">
        <x:v>RUN-005 + RUN-009</x:v>
      </x:c>
      <x:c r="F16" s="69" t="str">
        <x:v>Pass</x:v>
      </x:c>
      <x:c r="G16" s="69" t="str"/>
    </x:row>
    <x:row r="17" ht="15" hidden="0" customHeight="1">
      <x:c r="A17" s="69" t="str">
        <x:v>P-012</x:v>
      </x:c>
      <x:c r="B17" s="69" t="str">
        <x:v>Catalog pointer</x:v>
      </x:c>
      <x:c r="C17" s="69" t="str">
        <x:v>Wallet resolves the exact catalog_uri carried by proof.</x:v>
      </x:c>
      <x:c r="D17" s="69" t="str">
        <x:v>Wallet fetches the exact catalog_uri from each proof</x:v>
      </x:c>
      <x:c r="E17" s="69" t="str">
        <x:v>RUN-005 + source inspection</x:v>
      </x:c>
      <x:c r="F17" s="69" t="str">
        <x:v>Pass</x:v>
      </x:c>
      <x:c r="G17" s="69" t="str"/>
    </x:row>
    <x:row r="18" ht="15" hidden="0" customHeight="1">
      <x:c r="A18" s="69" t="str">
        <x:v>P-013</x:v>
      </x:c>
      <x:c r="B18" s="69" t="str">
        <x:v>Catalog signature</x:v>
      </x:c>
      <x:c r="C18" s="69" t="str">
        <x:v>Wallet verifies immutable signed manifest against trusted application authority.</x:v>
      </x:c>
      <x:c r="D18" s="69" t="str">
        <x:v>Wallet pins catalog issuer advertised by mint capabilities</x:v>
      </x:c>
      <x:c r="E18" s="69" t="str">
        <x:v>RUN-005</x:v>
      </x:c>
      <x:c r="F18" s="69" t="str">
        <x:v>Pass</x:v>
      </x:c>
      <x:c r="G18" s="69" t="str"/>
    </x:row>
    <x:row r="19" ht="21.600000381469727" hidden="0" customHeight="1">
      <x:c r="A19" s="69" t="str">
        <x:v>P-014</x:v>
      </x:c>
      <x:c r="B19" s="69" t="str">
        <x:v>Blossom</x:v>
      </x:c>
      <x:c r="C19" s="69" t="str">
        <x:v>Wallet hashes fetched face bytes before display.</x:v>
      </x:c>
      <x:c r="D19" s="69" t="str">
        <x:v>Wallet hashes downloaded Blossom bytes before blob display, with mirror fallback</x:v>
      </x:c>
      <x:c r="E19" s="69" t="str">
        <x:v>RUN-009</x:v>
      </x:c>
      <x:c r="F19" s="69" t="str">
        <x:v>Pass</x:v>
      </x:c>
      <x:c r="G19" s="69" t="str"/>
    </x:row>
    <x:row r="20" ht="15" hidden="0" customHeight="1">
      <x:c r="A20" s="69" t="str">
        <x:v>P-015</x:v>
      </x:c>
      <x:c r="B20" s="69" t="str">
        <x:v>Replacement</x:v>
      </x:c>
      <x:c r="C20" s="69" t="str">
        <x:v>Output exact reference/binding equals consumed input; owner/P2BK/nonce/blinding may change.</x:v>
      </x:c>
      <x:c r="D20" s="69" t="str">
        <x:v>Trade requires byte-identical reference and asset_binding</x:v>
      </x:c>
      <x:c r="E20" s="69" t="str">
        <x:v>RUN-005</x:v>
      </x:c>
      <x:c r="F20" s="69" t="str">
        <x:v>Pass</x:v>
      </x:c>
      <x:c r="G20" s="69" t="str"/>
    </x:row>
    <x:row r="21" ht="21.600000381469727" hidden="0" customHeight="1">
      <x:c r="A21" s="69" t="str">
        <x:v>P-016</x:v>
      </x:c>
      <x:c r="B21" s="69" t="str">
        <x:v>Atomicity</x:v>
      </x:c>
      <x:c r="C21" s="69" t="str">
        <x:v>All input/destination checks complete before old proof becomes spent.</x:v>
      </x:c>
      <x:c r="D21" s="69" t="str">
        <x:v>SQLite transaction commits spend and replacement operation together after validation</x:v>
      </x:c>
      <x:c r="E21" s="69" t="str">
        <x:v>RUN-005 restart test</x:v>
      </x:c>
      <x:c r="F21" s="69" t="str">
        <x:v>Pass</x:v>
      </x:c>
      <x:c r="G21" s="69" t="str"/>
    </x:row>
    <x:row r="22" ht="21.600000381469727" hidden="0" customHeight="1">
      <x:c r="A22" s="69" t="str">
        <x:v>P-017</x:v>
      </x:c>
      <x:c r="B22" s="69" t="str">
        <x:v>Failure rollback</x:v>
      </x:c>
      <x:c r="C22" s="69" t="str">
        <x:v>Any rejected trade leaves old proof UNSPENT.</x:v>
      </x:c>
      <x:c r="D22" s="69" t="str">
        <x:v>Rejected changed binding leaves input usable; spend occurs only inside final transaction</x:v>
      </x:c>
      <x:c r="E22" s="69" t="str">
        <x:v>RUN-005</x:v>
      </x:c>
      <x:c r="F22" s="69" t="str">
        <x:v>Pass</x:v>
      </x:c>
      <x:c r="G22" s="69" t="str"/>
    </x:row>
    <x:row r="23" ht="15" hidden="0" customHeight="1">
      <x:c r="A23" s="69" t="str">
        <x:v>P-018</x:v>
      </x:c>
      <x:c r="B23" s="69" t="str">
        <x:v>Double spend</x:v>
      </x:c>
      <x:c r="C23" s="69" t="str">
        <x:v>Second spend is rejected and checkstate returns SPENT.</x:v>
      </x:c>
      <x:c r="D23" s="69" t="str">
        <x:v>Second spend rejected and checkstate remains SPENT across restart</x:v>
      </x:c>
      <x:c r="E23" s="69" t="str">
        <x:v>RUN-005</x:v>
      </x:c>
      <x:c r="F23" s="69" t="str">
        <x:v>Pass</x:v>
      </x:c>
      <x:c r="G23" s="69" t="str"/>
    </x:row>
    <x:row r="24" ht="21.600000381469727" hidden="0" customHeight="1">
      <x:c r="A24" s="69" t="str">
        <x:v>P-019</x:v>
      </x:c>
      <x:c r="B24" s="69" t="str">
        <x:v>Recovery</x:v>
      </x:c>
      <x:c r="C24" s="69" t="str">
        <x:v>Lost successful response is recoverable via durable idempotency/state recovery.</x:v>
      </x:c>
      <x:c r="D24" s="69" t="str">
        <x:v>Prepared request/output and idempotency key persist before send; response can be recovered</x:v>
      </x:c>
      <x:c r="E24" s="69" t="str">
        <x:v>RUN-005</x:v>
      </x:c>
      <x:c r="F24" s="69" t="str">
        <x:v>Pass</x:v>
      </x:c>
      <x:c r="G24" s="69" t="str"/>
    </x:row>
    <x:row r="25" ht="15" hidden="0" customHeight="1">
      <x:c r="A25" s="69" t="str">
        <x:v>P-020</x:v>
      </x:c>
      <x:c r="B25" s="69" t="str">
        <x:v>Generic operations</x:v>
      </x:c>
      <x:c r="C25" s="69" t="str">
        <x:v>Swap/melt/other consuming paths cannot strip NutFT metadata.</x:v>
      </x:c>
      <x:c r="D25" s="69" t="str">
        <x:v>Generic swap and melt endpoints absent and asserted 404</x:v>
      </x:c>
      <x:c r="E25" s="69" t="str">
        <x:v>RUN-005</x:v>
      </x:c>
      <x:c r="F25" s="69" t="str">
        <x:v>Pass</x:v>
      </x:c>
      <x:c r="G25" s="69" t="str"/>
    </x:row>
    <x:row r="26" ht="15" hidden="0" customHeight="1">
      <x:c r="A26" s="69" t="str">
        <x:v>P-021</x:v>
      </x:c>
      <x:c r="B26" s="69" t="str">
        <x:v>Malformed input</x:v>
      </x:c>
      <x:c r="C26" s="69" t="str">
        <x:v>Mint rejects malformed/noncanonical secrets before consuming proof.</x:v>
      </x:c>
      <x:c r="D26" s="69" t="str">
        <x:v>Bounded JSON parser and canonical secret/tag/opening validation</x:v>
      </x:c>
      <x:c r="E26" s="69" t="str">
        <x:v>RUN-005</x:v>
      </x:c>
      <x:c r="F26" s="69" t="str">
        <x:v>Pass</x:v>
      </x:c>
      <x:c r="G26" s="69" t="str"/>
    </x:row>
    <x:row r="27" ht="15" hidden="0" customHeight="1">
      <x:c r="A27" s="69" t="str">
        <x:v>P-022</x:v>
      </x:c>
      <x:c r="B27" s="69" t="str">
        <x:v>Keyset binding</x:v>
      </x:c>
      <x:c r="C27" s="69" t="str">
        <x:v>Mint rejects input proof with wrong/unknown keyset id or unit.</x:v>
      </x:c>
      <x:c r="D27" s="69" t="str">
        <x:v>Input proof id must equal active keyset and signature must verify</x:v>
      </x:c>
      <x:c r="E27" s="69" t="str">
        <x:v>RUN-005</x:v>
      </x:c>
      <x:c r="F27" s="69" t="str">
        <x:v>Pass</x:v>
      </x:c>
      <x:c r="G27" s="69" t="str"/>
    </x:row>
    <x:row r="28" ht="21.600000381469727" hidden="0" customHeight="1">
      <x:c r="A28" s="69" t="str">
        <x:v>P-023</x:v>
      </x:c>
      <x:c r="B28" s="69" t="str">
        <x:v>Untrusted catalog data</x:v>
      </x:c>
      <x:c r="C28" s="69" t="str">
        <x:v>Client never executes catalog-provided code.</x:v>
      </x:c>
      <x:c r="D28" s="69" t="str">
        <x:v>Wallet creates metadata nodes with textContent; catalog code is never evaluated</x:v>
      </x:c>
      <x:c r="E28" s="69" t="str">
        <x:v>RUN-009 + source inspection</x:v>
      </x:c>
      <x:c r="F28" s="69" t="str">
        <x:v>Pass</x:v>
      </x:c>
      <x:c r="G28" s="69" t="str"/>
    </x:row>
    <x:row r="29" ht="15" hidden="0" customHeight="1">
      <x:c r="A29" s="69" t="str">
        <x:v>P-024</x:v>
      </x:c>
      <x:c r="B29" s="69" t="str">
        <x:v>Store applet</x:v>
      </x:c>
      <x:c r="C29" s="69" t="str">
        <x:v>Store issues one proof per purchased booster card.</x:v>
      </x:c>
      <x:c r="D29" s="69" t="str">
        <x:v>Store creates one amount-1 proof for each of seven cards</x:v>
      </x:c>
      <x:c r="E29" s="69" t="str">
        <x:v>RUN-009</x:v>
      </x:c>
      <x:c r="F29" s="69" t="str">
        <x:v>Pass</x:v>
      </x:c>
      <x:c r="G29" s="69" t="str"/>
    </x:row>
    <x:row r="30" ht="21.600000381469727" hidden="0" customHeight="1">
      <x:c r="A30" s="69" t="str">
        <x:v>P-025</x:v>
      </x:c>
      <x:c r="B30" s="69" t="str">
        <x:v>Deck applet</x:v>
      </x:c>
      <x:c r="C30" s="69" t="str">
        <x:v>Deck builder reads verified wallet cards and ownership counts.</x:v>
      </x:c>
      <x:c r="D30" s="69" t="str">
        <x:v>Deck builder snapshots verified unspent wallet proofs and enforces copy ownership</x:v>
      </x:c>
      <x:c r="E30" s="69" t="str">
        <x:v>RUN-009</x:v>
      </x:c>
      <x:c r="F30" s="69" t="str">
        <x:v>Pass</x:v>
      </x:c>
      <x:c r="G30" s="69" t="str"/>
    </x:row>
    <x:row r="31" ht="21.600000381469727" hidden="0" customHeight="1">
      <x:c r="A31" s="69" t="str">
        <x:v>P-026</x:v>
      </x:c>
      <x:c r="B31" s="69" t="str">
        <x:v>Gameplay applet</x:v>
      </x:c>
      <x:c r="C31" s="69" t="str">
        <x:v>Gameplay requests possession/control proof and keeps rules outside token.</x:v>
      </x:c>
      <x:c r="D31" s="69" t="str">
        <x:v>Gameplay rechecks NutFT-marked saved decks before start; rules stay in engine</x:v>
      </x:c>
      <x:c r="E31" s="69" t="str">
        <x:v>RUN-006</x:v>
      </x:c>
      <x:c r="F31" s="69" t="str">
        <x:v>Pass</x:v>
      </x:c>
      <x:c r="G31" s="69" t="str"/>
    </x:row>
  </x:sheetData>
  <x:mergeCells>
    <x:mergeCell ref="A1:G1"/>
    <x:mergeCell ref="A2:G2"/>
  </x:mergeCells>
  <x:conditionalFormatting sqref="F6:F31">
    <x:cfRule type="containsText" dxfId="4" priority="1" operator="containsText" text="Pass"/>
    <x:cfRule type="containsText" dxfId="5" priority="2" operator="containsText" text="Fail"/>
    <x:cfRule type="containsText" dxfId="6" priority="3" operator="containsText" text="Blocked"/>
    <x:cfRule type="containsText" dxfId="7" priority="4" operator="containsText" text="Not Run"/>
  </x:conditionalFormatting>
  <x:dataValidations count="1">
    <x:dataValidation type="list" sqref="F6:F31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ed1954041041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52" hidden="0" customWidth="1"/>
    <x:col min="5" max="5" width="48" hidden="0" customWidth="1"/>
    <x:col min="6" max="6" width="48" hidden="0" customWidth="1"/>
    <x:col min="7" max="7" width="4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</x:cols>
  <x:sheetData>
    <x:row r="1" ht="15" hidden="0" customHeight="1">
      <x:c r="A1" s="65" t="str">
        <x:v>Defects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Every observed protocol, logistics, UX, durability, or test-infrastructure error. Fixes require a regression check and commit.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</x:row>
    <x:row r="5" ht="15" hidden="0" customHeight="1">
      <x:c r="A5" s="60" t="str">
        <x:v>ID</x:v>
      </x:c>
      <x:c r="B5" s="61" t="str">
        <x:v>Severity</x:v>
      </x:c>
      <x:c r="C5" s="61" t="str">
        <x:v>Area</x:v>
      </x:c>
      <x:c r="D5" s="61" t="str">
        <x:v>Summary</x:v>
      </x:c>
      <x:c r="E5" s="61" t="str">
        <x:v>Reproduction</x:v>
      </x:c>
      <x:c r="F5" s="61" t="str">
        <x:v>Expected</x:v>
      </x:c>
      <x:c r="G5" s="61" t="str">
        <x:v>Actual</x:v>
      </x:c>
      <x:c r="H5" s="61" t="str">
        <x:v>Source evidence</x:v>
      </x:c>
      <x:c r="I5" s="61" t="str">
        <x:v>Regression test</x:v>
      </x:c>
      <x:c r="J5" s="61" t="str">
        <x:v>Fix commit</x:v>
      </x:c>
      <x:c r="K5" s="62" t="str">
        <x:v>Status</x:v>
      </x:c>
    </x:row>
    <x:row r="6" ht="15" hidden="0" customHeight="1">
      <x:c r="A6" s="69" t="str">
        <x:v>D-001</x:v>
      </x:c>
      <x:c r="B6" s="69" t="str">
        <x:v>Critical</x:v>
      </x:c>
      <x:c r="C6" s="69" t="str">
        <x:v>NutFT wallet</x:v>
      </x:c>
      <x:c r="D6" s="69" t="str">
        <x:v>Wallet reload crashes because snapshot references undefined keyset.</x:v>
      </x:c>
      <x:c r="E6" s="69" t="str">
        <x:v>Buy a mint booster, then open /wallet.html.</x:v>
      </x:c>
      <x:c r="F6" s="69" t="str">
        <x:v>Seven verified card tiles.</x:v>
      </x:c>
      <x:c r="G6" s="69" t="str">
        <x:v>Error: keyset is not defined; zero tiles.</x:v>
      </x:c>
      <x:c r="H6" s="69" t="str">
        <x:v>site/nutft-wallet.js:124-132</x:v>
      </x:c>
      <x:c r="I6" s="69" t="str">
        <x:v>Add browser/unit regression for purchase→reload</x:v>
      </x:c>
      <x:c r="J6" s="69" t="str">
        <x:v>b706922</x:v>
      </x:c>
      <x:c r="K6" s="69" t="str">
        <x:v>Verified</x:v>
      </x:c>
    </x:row>
    <x:row r="7" ht="15" hidden="0" customHeight="1">
      <x:c r="A7" s="69" t="str">
        <x:v>D-002</x:v>
      </x:c>
      <x:c r="B7" s="69" t="str">
        <x:v>High</x:v>
      </x:c>
      <x:c r="C7" s="69" t="str">
        <x:v>NutFT capability</x:v>
      </x:c>
      <x:c r="D7" s="69" t="str">
        <x:v>Wallet uses P2BK/DLEQ without checking NUT-31 mint capabilities.</x:v>
      </x:c>
      <x:c r="E7" s="69" t="str">
        <x:v>Return info without NUT-31 or p2bk/dleq and buy.</x:v>
      </x:c>
      <x:c r="F7" s="69" t="str">
        <x:v>Wallet refuses before sending outputs.</x:v>
      </x:c>
      <x:c r="G7" s="69" t="str">
        <x:v>Wallet never requests /v1/info.</x:v>
      </x:c>
      <x:c r="H7" s="69" t="str">
        <x:v>31.md Capability advertisement; site/nutft-wallet.js:48</x:v>
      </x:c>
      <x:c r="I7" s="69" t="str">
        <x:v>Add unsupported capability tests</x:v>
      </x:c>
      <x:c r="J7" s="69" t="str">
        <x:v>b706922</x:v>
      </x:c>
      <x:c r="K7" s="69" t="str">
        <x:v>Verified</x:v>
      </x:c>
    </x:row>
    <x:row r="8" ht="15" hidden="0" customHeight="1">
      <x:c r="A8" s="69" t="str">
        <x:v>D-003</x:v>
      </x:c>
      <x:c r="B8" s="69" t="str">
        <x:v>High</x:v>
      </x:c>
      <x:c r="C8" s="69" t="str">
        <x:v>Catalog trust</x:v>
      </x:c>
      <x:c r="D8" s="69" t="str">
        <x:v>Catalog self-authorizes by supplying the issuer key verified by wallet.</x:v>
      </x:c>
      <x:c r="E8" s="69" t="str">
        <x:v>Serve modified catalog signed by attacker key.</x:v>
      </x:c>
      <x:c r="F8" s="69" t="str">
        <x:v>Pinned application authority rejects it.</x:v>
      </x:c>
      <x:c r="G8" s="69" t="str">
        <x:v>Any internally valid key/signature pair is accepted.</x:v>
      </x:c>
      <x:c r="H8" s="69" t="str">
        <x:v>site/nutft-wallet.js:115-121</x:v>
      </x:c>
      <x:c r="I8" s="69" t="str">
        <x:v>Add attacker self-signed catalog test</x:v>
      </x:c>
      <x:c r="J8" s="69" t="str">
        <x:v>b706922</x:v>
      </x:c>
      <x:c r="K8" s="69" t="str">
        <x:v>Verified</x:v>
      </x:c>
    </x:row>
    <x:row r="9" ht="15" hidden="0" customHeight="1">
      <x:c r="A9" s="69" t="str">
        <x:v>D-004</x:v>
      </x:c>
      <x:c r="B9" s="69" t="str">
        <x:v>High</x:v>
      </x:c>
      <x:c r="C9" s="69" t="str">
        <x:v>Catalog integrity</x:v>
      </x:c>
      <x:c r="D9" s="69" t="str">
        <x:v>Wallet ignores proof catalog_uri and fetches current mint catalog at a mutable URL.</x:v>
      </x:c>
      <x:c r="E9" s="69" t="str">
        <x:v>Issue proof, change current catalog endpoint, reload.</x:v>
      </x:c>
      <x:c r="F9" s="69" t="str">
        <x:v>Fetch/verify exact immutable pointer in proof.</x:v>
      </x:c>
      <x:c r="G9" s="69" t="str">
        <x:v>Fetches mintUrl/nutft/catalog.</x:v>
      </x:c>
      <x:c r="H9" s="69" t="str">
        <x:v>site/nutft-wallet.js:126</x:v>
      </x:c>
      <x:c r="I9" s="69" t="str">
        <x:v>Add exact-pointer and mutation tests</x:v>
      </x:c>
      <x:c r="J9" s="69" t="str">
        <x:v>b706922</x:v>
      </x:c>
      <x:c r="K9" s="69" t="str">
        <x:v>Verified</x:v>
      </x:c>
    </x:row>
    <x:row r="10" ht="15" hidden="0" customHeight="1">
      <x:c r="A10" s="69" t="str">
        <x:v>D-005</x:v>
      </x:c>
      <x:c r="B10" s="69" t="str">
        <x:v>Critical</x:v>
      </x:c>
      <x:c r="C10" s="69" t="str">
        <x:v>Catalog UX/security</x:v>
      </x:c>
      <x:c r="D10" s="69" t="str">
        <x:v>Signed-but-untrusted catalog text is inserted with innerHTML.</x:v>
      </x:c>
      <x:c r="E10" s="69" t="str">
        <x:v>Serve asset name/tier containing HTML/event attributes.</x:v>
      </x:c>
      <x:c r="F10" s="69" t="str">
        <x:v>Metadata renders as inert text.</x:v>
      </x:c>
      <x:c r="G10" s="69" t="str">
        <x:v>HTML is interpreted in wallet tiles/meta.</x:v>
      </x:c>
      <x:c r="H10" s="69" t="str">
        <x:v>site/wallet.html:57,66</x:v>
      </x:c>
      <x:c r="I10" s="69" t="str">
        <x:v>Add malicious metadata browser test</x:v>
      </x:c>
      <x:c r="J10" s="69" t="str">
        <x:v>b706922</x:v>
      </x:c>
      <x:c r="K10" s="69" t="str">
        <x:v>Verified</x:v>
      </x:c>
    </x:row>
    <x:row r="11" ht="15" hidden="0" customHeight="1">
      <x:c r="A11" s="69" t="str">
        <x:v>D-006</x:v>
      </x:c>
      <x:c r="B11" s="69" t="str">
        <x:v>High</x:v>
      </x:c>
      <x:c r="C11" s="69" t="str">
        <x:v>Mint validation</x:v>
      </x:c>
      <x:c r="D11" s="69" t="str">
        <x:v>Mint does not enforce exactly one NutFT tag/non-empty canonical fields.</x:v>
      </x:c>
      <x:c r="E11" s="69" t="str">
        <x:v>Submit signed proof secret with duplicate/malformed tag.</x:v>
      </x:c>
      <x:c r="F11" s="69" t="str">
        <x:v>Reject before spend.</x:v>
      </x:c>
      <x:c r="G11" s="69" t="str">
        <x:v>getTag reads one tag; limited shape checks.</x:v>
      </x:c>
      <x:c r="H11" s="69" t="str">
        <x:v>server/nutft-mint.js:176-184</x:v>
      </x:c>
      <x:c r="I11" s="69" t="str">
        <x:v>Add malformed/duplicate tag tests</x:v>
      </x:c>
      <x:c r="J11" s="69" t="str">
        <x:v>67d1812</x:v>
      </x:c>
      <x:c r="K11" s="69" t="str">
        <x:v>Verified</x:v>
      </x:c>
    </x:row>
    <x:row r="12" ht="15" hidden="0" customHeight="1">
      <x:c r="A12" s="69" t="str">
        <x:v>D-007</x:v>
      </x:c>
      <x:c r="B12" s="69" t="str">
        <x:v>High</x:v>
      </x:c>
      <x:c r="C12" s="69" t="str">
        <x:v>Mint validation</x:v>
      </x:c>
      <x:c r="D12" s="69" t="str">
        <x:v>Trade does not explicitly require input.id to equal active collection keyset.</x:v>
      </x:c>
      <x:c r="E12" s="69" t="str">
        <x:v>Alter serialized proof id while retaining signature fields.</x:v>
      </x:c>
      <x:c r="F12" s="69" t="str">
        <x:v>Reject wrong keyset id without spending.</x:v>
      </x:c>
      <x:c r="G12" s="69" t="str">
        <x:v>Signature check receives active private key but id is not compared.</x:v>
      </x:c>
      <x:c r="H12" s="69" t="str">
        <x:v>server/nutft-mint.js:182</x:v>
      </x:c>
      <x:c r="I12" s="69" t="str">
        <x:v>Add wrong-id test and state assertion</x:v>
      </x:c>
      <x:c r="J12" s="69" t="str">
        <x:v>67d1812</x:v>
      </x:c>
      <x:c r="K12" s="69" t="str">
        <x:v>Verified</x:v>
      </x:c>
    </x:row>
    <x:row r="13" ht="15" hidden="0" customHeight="1">
      <x:c r="A13" s="69" t="str">
        <x:v>D-008</x:v>
      </x:c>
      <x:c r="B13" s="69" t="str">
        <x:v>High</x:v>
      </x:c>
      <x:c r="C13" s="69" t="str">
        <x:v>Trading UX</x:v>
      </x:c>
      <x:c r="D13" s="69" t="str">
        <x:v>Website has no recipient/import flow; trade helper only self-swaps.</x:v>
      </x:c>
      <x:c r="E13" s="69" t="str">
        <x:v>Open wallet and try to transfer to another wallet.</x:v>
      </x:c>
      <x:c r="F13" s="69" t="str">
        <x:v>Recipient key/token workflow available end-to-end.</x:v>
      </x:c>
      <x:c r="G13" s="69" t="str">
        <x:v>No controls; output pubkey is sender's own key.</x:v>
      </x:c>
      <x:c r="H13" s="69" t="str">
        <x:v>site/nutft-wallet.js:145-180; site/wallet.html</x:v>
      </x:c>
      <x:c r="I13" s="69" t="str">
        <x:v>Add two-wallet browser trade test</x:v>
      </x:c>
      <x:c r="J13" s="69" t="str">
        <x:v>b91099a</x:v>
      </x:c>
      <x:c r="K13" s="69" t="str">
        <x:v>Verified</x:v>
      </x:c>
    </x:row>
    <x:row r="14" ht="15" hidden="0" customHeight="1">
      <x:c r="A14" s="69" t="str">
        <x:v>D-009</x:v>
      </x:c>
      <x:c r="B14" s="69" t="str">
        <x:v>High</x:v>
      </x:c>
      <x:c r="C14" s="69" t="str">
        <x:v>Trade recovery</x:v>
      </x:c>
      <x:c r="D14" s="69" t="str">
        <x:v>Wallet loses idempotency key and output secrets if response is lost.</x:v>
      </x:c>
      <x:c r="E14" s="69" t="str">
        <x:v>Commit trade then abort response; retry transfer.</x:v>
      </x:c>
      <x:c r="F14" s="69" t="str">
        <x:v>Retry recovers same output/proof exactly once.</x:v>
      </x:c>
      <x:c r="G14" s="69" t="str">
        <x:v>New random request is generated on every call.</x:v>
      </x:c>
      <x:c r="H14" s="69" t="str">
        <x:v>site/nutft-wallet.js:157-178</x:v>
      </x:c>
      <x:c r="I14" s="69" t="str">
        <x:v>Add dropped-response regression</x:v>
      </x:c>
      <x:c r="J14" s="69" t="str">
        <x:v>a17cd22 / b91099a</x:v>
      </x:c>
      <x:c r="K14" s="69" t="str">
        <x:v>Verified</x:v>
      </x:c>
    </x:row>
    <x:row r="15" ht="21.600000381469727" hidden="0" customHeight="1">
      <x:c r="A15" s="69" t="str">
        <x:v>D-010</x:v>
      </x:c>
      <x:c r="B15" s="69" t="str">
        <x:v>High</x:v>
      </x:c>
      <x:c r="C15" s="69" t="str">
        <x:v>Applet integration</x:v>
      </x:c>
      <x:c r="D15" s="69" t="str">
        <x:v>Stack Builder trusts unrestricted catalog/shop handoff instead of verified wallet holdings.</x:v>
      </x:c>
      <x:c r="E15" s="69" t="str">
        <x:v>Buy one booster, then build copies/cards not owned.</x:v>
      </x:c>
      <x:c r="F15" s="69" t="str">
        <x:v>NutFT mode limits copies to verified unspent proofs.</x:v>
      </x:c>
      <x:c r="G15" s="69" t="str">
        <x:v>No NutFT wallet read in deck.html.</x:v>
      </x:c>
      <x:c r="H15" s="69" t="str">
        <x:v>docs/demo-spec.md §7; site/deck.html</x:v>
      </x:c>
      <x:c r="I15" s="69" t="str">
        <x:v>Add owned-copy browser tests</x:v>
      </x:c>
      <x:c r="J15" s="69" t="str">
        <x:v>10a1922</x:v>
      </x:c>
      <x:c r="K15" s="69" t="str">
        <x:v>Verified</x:v>
      </x:c>
    </x:row>
    <x:row r="16" ht="15" hidden="0" customHeight="1">
      <x:c r="A16" s="69" t="str">
        <x:v>D-011</x:v>
      </x:c>
      <x:c r="B16" s="69" t="str">
        <x:v>High</x:v>
      </x:c>
      <x:c r="C16" s="69" t="str">
        <x:v>Applet integration</x:v>
      </x:c>
      <x:c r="D16" s="69" t="str">
        <x:v>Gameplay starts custom decks without proving NutFT possession.</x:v>
      </x:c>
      <x:c r="E16" s="69" t="str">
        <x:v>Create arbitrary saved list and start game.</x:v>
      </x:c>
      <x:c r="F16" s="69" t="str">
        <x:v>NutFT-backed mode requires current controlled proofs.</x:v>
      </x:c>
      <x:c r="G16" s="69" t="str">
        <x:v>play.js reads card IDs only.</x:v>
      </x:c>
      <x:c r="H16" s="69" t="str">
        <x:v>docs/demo-spec.md §7; site/play.js:4220</x:v>
      </x:c>
      <x:c r="I16" s="69" t="str">
        <x:v>Add valid/missing/spent possession tests</x:v>
      </x:c>
      <x:c r="J16" s="69" t="str">
        <x:v>10a1922</x:v>
      </x:c>
      <x:c r="K16" s="69" t="str">
        <x:v>Verified</x:v>
      </x:c>
    </x:row>
    <x:row r="17" ht="15" hidden="0" customHeight="1">
      <x:c r="A17" s="69" t="str">
        <x:v>D-012</x:v>
      </x:c>
      <x:c r="B17" s="69" t="str">
        <x:v>Low</x:v>
      </x:c>
      <x:c r="C17" s="69" t="str">
        <x:v>Test logistics</x:v>
      </x:c>
      <x:c r="D17" s="69" t="str">
        <x:v>Python page inventory test was not updated for wallet.html.</x:v>
      </x:c>
      <x:c r="E17" s="69" t="str">
        <x:v>Run uv run --frozen pytest -q.</x:v>
      </x:c>
      <x:c r="F17" s="69" t="str">
        <x:v>New page is expected by repo contract.</x:v>
      </x:c>
      <x:c r="G17" s="69" t="str">
        <x:v>test_static_site_pages_live_together fails.</x:v>
      </x:c>
      <x:c r="H17" s="69" t="str">
        <x:v>tests/test_repo_structure.py:10</x:v>
      </x:c>
      <x:c r="I17" s="69" t="str">
        <x:v>Update expectation first with product test</x:v>
      </x:c>
      <x:c r="J17" s="69" t="str">
        <x:v>9ae88f1</x:v>
      </x:c>
      <x:c r="K17" s="69" t="str">
        <x:v>Verified</x:v>
      </x:c>
    </x:row>
    <x:row r="18" ht="21.600000381469727" hidden="0" customHeight="1">
      <x:c r="A18" s="69" t="str">
        <x:v>D-013</x:v>
      </x:c>
      <x:c r="B18" s="69" t="str">
        <x:v>Medium</x:v>
      </x:c>
      <x:c r="C18" s="69" t="str">
        <x:v>Store UX</x:v>
      </x:c>
      <x:c r="D18" s="69" t="str">
        <x:v>Mint-mode hero/footer still claims a published fixed shuffle/box verification that does not describe the census draw.</x:v>
      </x:c>
      <x:c r="E18" s="69" t="str">
        <x:v>Open /shop.html?shop=mint and read hero/proof sections.</x:v>
      </x:c>
      <x:c r="F18" s="69" t="str">
        <x:v>Mode copy describes census/beacon and what is/not publicly verifiable.</x:v>
      </x:c>
      <x:c r="G18" s="69" t="str">
        <x:v>Free-box copy remains visible in mint mode.</x:v>
      </x:c>
      <x:c r="H18" s="69" t="str">
        <x:v>site/shop.html; site/shop.js:722</x:v>
      </x:c>
      <x:c r="I18" s="69" t="str">
        <x:v>Add mode-copy browser assertion</x:v>
      </x:c>
      <x:c r="J18" s="69" t="str">
        <x:v>9ae88f1</x:v>
      </x:c>
      <x:c r="K18" s="69" t="str">
        <x:v>Verified</x:v>
      </x:c>
    </x:row>
    <x:row r="19" ht="15" hidden="0" customHeight="1">
      <x:c r="A19" s="69" t="str">
        <x:v>D-014</x:v>
      </x:c>
      <x:c r="B19" s="69" t="str">
        <x:v>High</x:v>
      </x:c>
      <x:c r="C19" s="69" t="str">
        <x:v>Wallet durability</x:v>
      </x:c>
      <x:c r="D19" s="69" t="str">
        <x:v>Malformed localStorage silently becomes an empty wallet in memory.</x:v>
      </x:c>
      <x:c r="E19" s="69" t="str">
        <x:v>Set 600b:nutft-wallet to invalid JSON and load.</x:v>
      </x:c>
      <x:c r="F19" s="69" t="str">
        <x:v>Non-destructive actionable error; raw value preserved/exportable.</x:v>
      </x:c>
      <x:c r="G19" s="69" t="str">
        <x:v>read() catches and creates empty state.</x:v>
      </x:c>
      <x:c r="H19" s="69" t="str">
        <x:v>site/nutft-wallet.js:21-29</x:v>
      </x:c>
      <x:c r="I19" s="69" t="str">
        <x:v>Add corruption/no-overwrite test</x:v>
      </x:c>
      <x:c r="J19" s="69" t="str">
        <x:v>b706922 / 04faa94</x:v>
      </x:c>
      <x:c r="K19" s="69" t="str">
        <x:v>Verified</x:v>
      </x:c>
    </x:row>
    <x:row r="20" ht="15" hidden="0" customHeight="1">
      <x:c r="A20" s="69" t="str">
        <x:v>D-015</x:v>
      </x:c>
      <x:c r="B20" s="69" t="str">
        <x:v>Medium</x:v>
      </x:c>
      <x:c r="C20" s="69" t="str">
        <x:v>Wallet resilience</x:v>
      </x:c>
      <x:c r="D20" s="69" t="str">
        <x:v>One invalid proof or failed Blossom face aborts rendering every wallet card.</x:v>
      </x:c>
      <x:c r="E20" s="69" t="str">
        <x:v>Mix valid card with one bad proof/face.</x:v>
      </x:c>
      <x:c r="F20" s="69" t="str">
        <x:v>Valid cards render; bad card is isolated with reason.</x:v>
      </x:c>
      <x:c r="G20" s="69" t="str">
        <x:v>snapshot/render throw from shared loop.</x:v>
      </x:c>
      <x:c r="H20" s="69" t="str">
        <x:v>site/nutft-wallet.js:129; site/wallet.html:59</x:v>
      </x:c>
      <x:c r="I20" s="69" t="str">
        <x:v>Add mixed-wallet browser test</x:v>
      </x:c>
      <x:c r="J20" s="69" t="str">
        <x:v>b706922</x:v>
      </x:c>
      <x:c r="K20" s="69" t="str">
        <x:v>Verified</x:v>
      </x:c>
    </x:row>
    <x:row r="21" ht="21.600000381469727" hidden="0" customHeight="1">
      <x:c r="A21" s="69" t="str">
        <x:v>D-016</x:v>
      </x:c>
      <x:c r="B21" s="69" t="str">
        <x:v>High</x:v>
      </x:c>
      <x:c r="C21" s="69" t="str">
        <x:v>Deployment</x:v>
      </x:c>
      <x:c r="D21" s="69" t="str">
        <x:v>Default token catalog_uri is localhost and must be manually overridden for any hosted website.</x:v>
      </x:c>
      <x:c r="E21" s="69" t="str">
        <x:v>Deploy without NUTFT_CATALOG_URI and mint a proof.</x:v>
      </x:c>
      <x:c r="F21" s="69" t="str">
        <x:v>Published token points to reachable immutable catalog.</x:v>
      </x:c>
      <x:c r="G21" s="69" t="str">
        <x:v>Default http://localhost:8777/nutft/catalog.</x:v>
      </x:c>
      <x:c r="H21" s="69" t="str">
        <x:v>server/nutft-mint.js:61</x:v>
      </x:c>
      <x:c r="I21" s="69" t="str">
        <x:v>Add boot/config validation or request-derived documented setup</x:v>
      </x:c>
      <x:c r="J21" s="69" t="str">
        <x:v>04faa94</x:v>
      </x:c>
      <x:c r="K21" s="69" t="str">
        <x:v>Verified</x:v>
      </x:c>
    </x:row>
    <x:row r="22" ht="15" hidden="0" customHeight="1">
      <x:c r="A22" s="69" t="str">
        <x:v>D-017</x:v>
      </x:c>
      <x:c r="B22" s="69" t="str">
        <x:v>Medium</x:v>
      </x:c>
      <x:c r="C22" s="69" t="str">
        <x:v>Platform smoke</x:v>
      </x:c>
      <x:c r="D22" s="69" t="str">
        <x:v>play.html logs an unidentified 404 during initial browser load.</x:v>
      </x:c>
      <x:c r="E22" s="69" t="str">
        <x:v>Open /play.html under table server and capture console/network.</x:v>
      </x:c>
      <x:c r="F22" s="69" t="str">
        <x:v>No missing runtime asset/request.</x:v>
      </x:c>
      <x:c r="G22" s="69" t="str">
        <x:v>Console: Failed to load resource 404.</x:v>
      </x:c>
      <x:c r="H22" s="69" t="str">
        <x:v>Browser baseline 2026-08-20</x:v>
      </x:c>
      <x:c r="I22" s="69" t="str">
        <x:v>Capture exact request then add smoke assertion</x:v>
      </x:c>
      <x:c r="J22" s="69" t="str">
        <x:v>9ae88f1</x:v>
      </x:c>
      <x:c r="K22" s="69" t="str">
        <x:v>Verified</x:v>
      </x:c>
    </x:row>
    <x:row r="23" ht="15" hidden="0" customHeight="1">
      <x:c r="A23" s="69" t="str">
        <x:v>D-018</x:v>
      </x:c>
      <x:c r="B23" s="69" t="str">
        <x:v>Medium</x:v>
      </x:c>
      <x:c r="C23" s="69" t="str">
        <x:v>Repository checks</x:v>
      </x:c>
      <x:c r="D23" s="69" t="str">
        <x:v>Six pre-existing Python checks require absent historical art inputs or host-specific fonts.</x:v>
      </x:c>
      <x:c r="E23" s="69" t="str">
        <x:v>Run uv run --frozen pytest -q on clean remote branch.</x:v>
      </x:c>
      <x:c r="F23" s="69" t="str">
        <x:v>Documented fixtures/dependencies or deterministic skips.</x:v>
      </x:c>
      <x:c r="G23" s="69" t="str">
        <x:v>6 failures remain after tracked runtime art checkout.</x:v>
      </x:c>
      <x:c r="H23" s="69" t="str">
        <x:v>pytest baseline 2026-08-20</x:v>
      </x:c>
      <x:c r="I23" s="69" t="str">
        <x:v>Separate app fixes from art-pipeline repair</x:v>
      </x:c>
      <x:c r="J23" s="69" t="str"/>
      <x:c r="K23" s="69" t="str">
        <x:v>Triaged</x:v>
      </x:c>
    </x:row>
    <x:row r="24" ht="21.600000381469727" hidden="0" customHeight="1">
      <x:c r="A24" s="69" t="str">
        <x:v>D-019</x:v>
      </x:c>
      <x:c r="B24" s="69" t="str">
        <x:v>Critical</x:v>
      </x:c>
      <x:c r="C24" s="69" t="str">
        <x:v>Output integrity</x:v>
      </x:c>
      <x:c r="D24" s="69" t="str">
        <x:v>A clear asset declaration could differ from the hidden blinded secret, so the mint could sign a metadata-dropping proof.</x:v>
      </x:c>
      <x:c r="E24" s="69" t="str">
        <x:v>Submit B_ for a different hidden secret beside a valid declaration.</x:v>
      </x:c>
      <x:c r="F24" s="69" t="str">
        <x:v>Mint proves the signed secret carries the declared binding.</x:v>
      </x:c>
      <x:c r="G24" s="69" t="str">
        <x:v>Original design could not prove this without ZK.</x:v>
      </x:c>
      <x:c r="H24" s="69" t="str">
        <x:v>NUT-31 adversarial review</x:v>
      </x:c>
      <x:c r="I24" s="69" t="str">
        <x:v>Output opening mismatch tests</x:v>
      </x:c>
      <x:c r="J24" s="69" t="str">
        <x:v>67d1812 / NutFT 405614e</x:v>
      </x:c>
      <x:c r="K24" s="69" t="str">
        <x:v>Verified</x:v>
      </x:c>
    </x:row>
    <x:row r="25" ht="15" hidden="0" customHeight="1">
      <x:c r="A25" s="69" t="str">
        <x:v>D-020</x:v>
      </x:c>
      <x:c r="B25" s="69" t="str">
        <x:v>Critical</x:v>
      </x:c>
      <x:c r="C25" s="69" t="str">
        <x:v>Mint key custody</x:v>
      </x:c>
      <x:c r="D25" s="69" t="str">
        <x:v>Deterministic public demo seeds made mint and catalog issuer private keys derivable.</x:v>
      </x:c>
      <x:c r="E25" s="69" t="str">
        <x:v>Recompute documented fixed seeds.</x:v>
      </x:c>
      <x:c r="F25" s="69" t="str">
        <x:v>Unpredictable persisted keys.</x:v>
      </x:c>
      <x:c r="G25" s="69" t="str">
        <x:v>Anyone could forge signatures.</x:v>
      </x:c>
      <x:c r="H25" s="69" t="str">
        <x:v>Adversarial security review</x:v>
      </x:c>
      <x:c r="I25" s="69" t="str">
        <x:v>Restart preserves random keyset/issuer</x:v>
      </x:c>
      <x:c r="J25" s="69" t="str">
        <x:v>a17cd22</x:v>
      </x:c>
      <x:c r="K25" s="69" t="str">
        <x:v>Verified</x:v>
      </x:c>
    </x:row>
    <x:row r="26" ht="15" hidden="0" customHeight="1">
      <x:c r="A26" s="69" t="str">
        <x:v>D-021</x:v>
      </x:c>
      <x:c r="B26" s="69" t="str">
        <x:v>High</x:v>
      </x:c>
      <x:c r="C26" s="69" t="str">
        <x:v>Mint durability</x:v>
      </x:c>
      <x:c r="D26" s="69" t="str">
        <x:v>Spent state, booster cursor, and idempotency results were lost on restart.</x:v>
      </x:c>
      <x:c r="E26" s="69" t="str">
        <x:v>Complete operations and restart process.</x:v>
      </x:c>
      <x:c r="F26" s="69" t="str">
        <x:v>No replay/double spend and exact response recovery.</x:v>
      </x:c>
      <x:c r="G26" s="69" t="str">
        <x:v>In-memory maps reset.</x:v>
      </x:c>
      <x:c r="H26" s="69" t="str">
        <x:v>Adversarial security review</x:v>
      </x:c>
      <x:c r="I26" s="69" t="str">
        <x:v>SQLite restart regression</x:v>
      </x:c>
      <x:c r="J26" s="69" t="str">
        <x:v>a17cd22</x:v>
      </x:c>
      <x:c r="K26" s="69" t="str">
        <x:v>Verified</x:v>
      </x:c>
    </x:row>
    <x:row r="27" ht="15" hidden="0" customHeight="1">
      <x:c r="A27" s="69" t="str">
        <x:v>D-022</x:v>
      </x:c>
      <x:c r="B27" s="69" t="str">
        <x:v>High</x:v>
      </x:c>
      <x:c r="C27" s="69" t="str">
        <x:v>Issuance recovery</x:v>
      </x:c>
      <x:c r="D27" s="69" t="str">
        <x:v>A lost booster response could consume inventory while the wallet lost output secrets.</x:v>
      </x:c>
      <x:c r="E27" s="69" t="str">
        <x:v>Drop response after commit.</x:v>
      </x:c>
      <x:c r="F27" s="69" t="str">
        <x:v>Retry same durable operation and finalize once.</x:v>
      </x:c>
      <x:c r="G27" s="69" t="str">
        <x:v>Original request was not durable.</x:v>
      </x:c>
      <x:c r="H27" s="69" t="str">
        <x:v>Adversarial security review</x:v>
      </x:c>
      <x:c r="I27" s="69" t="str">
        <x:v>Lost-response wallet regression</x:v>
      </x:c>
      <x:c r="J27" s="69" t="str">
        <x:v>a17cd22 / b91099a</x:v>
      </x:c>
      <x:c r="K27" s="69" t="str">
        <x:v>Verified</x:v>
      </x:c>
    </x:row>
    <x:row r="28" ht="15" hidden="0" customHeight="1">
      <x:c r="A28" s="69" t="str">
        <x:v>D-023</x:v>
      </x:c>
      <x:c r="B28" s="69" t="str">
        <x:v>High</x:v>
      </x:c>
      <x:c r="C28" s="69" t="str">
        <x:v>P2BK enforcement</x:v>
      </x:c>
      <x:c r="D28" s="69" t="str">
        <x:v>Mint did not require P2BK on every demo output.</x:v>
      </x:c>
      <x:c r="E28" s="69" t="str">
        <x:v>Submit ordinary P2PK output.</x:v>
      </x:c>
      <x:c r="F28" s="69" t="str">
        <x:v>Reject because demo profile requires P2BK.</x:v>
      </x:c>
      <x:c r="G28" s="69" t="str">
        <x:v>Non-P2BK output accepted.</x:v>
      </x:c>
      <x:c r="H28" s="69" t="str">
        <x:v>Adversarial protocol review</x:v>
      </x:c>
      <x:c r="I28" s="69" t="str">
        <x:v>Output opening/P2BK tests</x:v>
      </x:c>
      <x:c r="J28" s="69" t="str">
        <x:v>67d1812</x:v>
      </x:c>
      <x:c r="K28" s="69" t="str">
        <x:v>Verified</x:v>
      </x:c>
    </x:row>
    <x:row r="29" ht="15" hidden="0" customHeight="1">
      <x:c r="A29" s="69" t="str">
        <x:v>D-024</x:v>
      </x:c>
      <x:c r="B29" s="69" t="str">
        <x:v>High</x:v>
      </x:c>
      <x:c r="C29" s="69" t="str">
        <x:v>Idempotency</x:v>
      </x:c>
      <x:c r="D29" s="69" t="str">
        <x:v>An idempotency key could be replayed with a changed request body.</x:v>
      </x:c>
      <x:c r="E29" s="69" t="str">
        <x:v>Reuse key with changed opening.</x:v>
      </x:c>
      <x:c r="F29" s="69" t="str">
        <x:v>Reject body mismatch.</x:v>
      </x:c>
      <x:c r="G29" s="69" t="str">
        <x:v>Cached response could be returned for another body.</x:v>
      </x:c>
      <x:c r="H29" s="69" t="str">
        <x:v>Adversarial security review</x:v>
      </x:c>
      <x:c r="I29" s="69" t="str">
        <x:v>Changed-body idempotency tests</x:v>
      </x:c>
      <x:c r="J29" s="69" t="str">
        <x:v>67d1812 / a17cd22</x:v>
      </x:c>
      <x:c r="K29" s="69" t="str">
        <x:v>Verified</x:v>
      </x:c>
    </x:row>
    <x:row r="30" ht="15" hidden="0" customHeight="1">
      <x:c r="A30" s="69" t="str">
        <x:v>D-025</x:v>
      </x:c>
      <x:c r="B30" s="69" t="str">
        <x:v>High</x:v>
      </x:c>
      <x:c r="C30" s="69" t="str">
        <x:v>Wallet concurrency</x:v>
      </x:c>
      <x:c r="D30" s="69" t="str">
        <x:v>Two tabs could race local bearer-token updates.</x:v>
      </x:c>
      <x:c r="E30" s="69" t="str">
        <x:v>Buy or transfer concurrently.</x:v>
      </x:c>
      <x:c r="F30" s="69" t="str">
        <x:v>Serialize wallet mutations.</x:v>
      </x:c>
      <x:c r="G30" s="69" t="str">
        <x:v>Last localStorage write could drop proofs.</x:v>
      </x:c>
      <x:c r="H30" s="69" t="str">
        <x:v>Adversarial security review</x:v>
      </x:c>
      <x:c r="I30" s="69" t="str">
        <x:v>navigator.locks path + wallet regressions</x:v>
      </x:c>
      <x:c r="J30" s="69" t="str">
        <x:v>b706922</x:v>
      </x:c>
      <x:c r="K30" s="69" t="str">
        <x:v>Verified</x:v>
      </x:c>
    </x:row>
    <x:row r="31" ht="15" hidden="0" customHeight="1">
      <x:c r="A31" s="69" t="str">
        <x:v>D-026</x:v>
      </x:c>
      <x:c r="B31" s="69" t="str">
        <x:v>High</x:v>
      </x:c>
      <x:c r="C31" s="69" t="str">
        <x:v>Blossom verification</x:v>
      </x:c>
      <x:c r="D31" s="69" t="str">
        <x:v>Display URL could change between verification and image rendering.</x:v>
      </x:c>
      <x:c r="E31" s="69" t="str">
        <x:v>Serve different bytes on repeated URL request.</x:v>
      </x:c>
      <x:c r="F31" s="69" t="str">
        <x:v>Render the exact verified bytes and try mirrors safely.</x:v>
      </x:c>
      <x:c r="G31" s="69" t="str">
        <x:v>Browser could refetch mutable URL.</x:v>
      </x:c>
      <x:c r="H31" s="69" t="str">
        <x:v>Adversarial security review</x:v>
      </x:c>
      <x:c r="I31" s="69" t="str">
        <x:v>RUN-009 displayed-byte hash flow</x:v>
      </x:c>
      <x:c r="J31" s="69" t="str">
        <x:v>b706922</x:v>
      </x:c>
      <x:c r="K31" s="69" t="str">
        <x:v>Verified</x:v>
      </x:c>
    </x:row>
    <x:row r="32" ht="21.600000381469727" hidden="0" customHeight="1">
      <x:c r="A32" s="69" t="str">
        <x:v>D-027</x:v>
      </x:c>
      <x:c r="B32" s="69" t="str">
        <x:v>Medium</x:v>
      </x:c>
      <x:c r="C32" s="69" t="str">
        <x:v>HTTP validation</x:v>
      </x:c>
      <x:c r="D32" s="69" t="str">
        <x:v>Unbounded/malformed checkstate and JSON requests could consume memory or throw inconsistently.</x:v>
      </x:c>
      <x:c r="E32" s="69" t="str">
        <x:v>Send oversized body/invalid points.</x:v>
      </x:c>
      <x:c r="F32" s="69" t="str">
        <x:v>Bound and reject before crypto work.</x:v>
      </x:c>
      <x:c r="G32" s="69" t="str">
        <x:v>Weak boundary validation.</x:v>
      </x:c>
      <x:c r="H32" s="69" t="str">
        <x:v>Adversarial security review</x:v>
      </x:c>
      <x:c r="I32" s="69" t="str">
        <x:v>Malformed input tests</x:v>
      </x:c>
      <x:c r="J32" s="69" t="str">
        <x:v>a17cd22</x:v>
      </x:c>
      <x:c r="K32" s="69" t="str">
        <x:v>Verified</x:v>
      </x:c>
    </x:row>
    <x:row r="33" ht="15" hidden="0" customHeight="1">
      <x:c r="A33" s="69" t="str">
        <x:v>D-028</x:v>
      </x:c>
      <x:c r="B33" s="69" t="str">
        <x:v>Medium</x:v>
      </x:c>
      <x:c r="C33" s="69" t="str">
        <x:v>Wallet state</x:v>
      </x:c>
      <x:c r="D33" s="69" t="str">
        <x:v>Spent proofs remained presented as owned cards.</x:v>
      </x:c>
      <x:c r="E33" s="69" t="str">
        <x:v>Spend then reload sender wallet.</x:v>
      </x:c>
      <x:c r="F33" s="69" t="str">
        <x:v>Separate SPENT from UNSPENT and exclude from ownership.</x:v>
      </x:c>
      <x:c r="G33" s="69" t="str">
        <x:v>Spent card still appeared usable.</x:v>
      </x:c>
      <x:c r="H33" s="69" t="str">
        <x:v>Product review</x:v>
      </x:c>
      <x:c r="I33" s="69" t="str">
        <x:v>RUN-005 + RUN-009</x:v>
      </x:c>
      <x:c r="J33" s="69" t="str">
        <x:v>b706922</x:v>
      </x:c>
      <x:c r="K33" s="69" t="str">
        <x:v>Verified</x:v>
      </x:c>
    </x:row>
    <x:row r="34" ht="15" hidden="0" customHeight="1">
      <x:c r="A34" s="69" t="str">
        <x:v>D-029</x:v>
      </x:c>
      <x:c r="B34" s="69" t="str">
        <x:v>Medium</x:v>
      </x:c>
      <x:c r="C34" s="69" t="str">
        <x:v>Card navigation</x:v>
      </x:c>
      <x:c r="D34" s="69" t="str">
        <x:v>Shop card links used hashes while gallery deep links use ?card=.</x:v>
      </x:c>
      <x:c r="E34" s="69" t="str">
        <x:v>Open pulled card details.</x:v>
      </x:c>
      <x:c r="F34" s="69" t="str">
        <x:v>Correct card dialog opens.</x:v>
      </x:c>
      <x:c r="G34" s="69" t="str">
        <x:v>Link did not select card.</x:v>
      </x:c>
      <x:c r="H34" s="69" t="str">
        <x:v>Product review</x:v>
      </x:c>
      <x:c r="I34" s="69" t="str">
        <x:v>RUN-010 deep-link test</x:v>
      </x:c>
      <x:c r="J34" s="69" t="str">
        <x:v>9ae88f1</x:v>
      </x:c>
      <x:c r="K34" s="69" t="str">
        <x:v>Verified</x:v>
      </x:c>
    </x:row>
    <x:row r="35" ht="15" hidden="0" customHeight="1">
      <x:c r="A35" s="69" t="str">
        <x:v>D-030</x:v>
      </x:c>
      <x:c r="B35" s="69" t="str">
        <x:v>Medium</x:v>
      </x:c>
      <x:c r="C35" s="69" t="str">
        <x:v>Stack legality</x:v>
      </x:c>
      <x:c r="D35" s="69" t="str">
        <x:v>Builder UI could save four copies despite engine three-copy rule.</x:v>
      </x:c>
      <x:c r="E35" s="69" t="str">
        <x:v>Add fourth non-Basic copy.</x:v>
      </x:c>
      <x:c r="F35" s="69" t="str">
        <x:v>Refuse save and explain limit.</x:v>
      </x:c>
      <x:c r="G35" s="69" t="str">
        <x:v>UI and engine disagreed.</x:v>
      </x:c>
      <x:c r="H35" s="69" t="str">
        <x:v>Product review</x:v>
      </x:c>
      <x:c r="I35" s="69" t="str">
        <x:v>Browser rejection + engine tests</x:v>
      </x:c>
      <x:c r="J35" s="69" t="str">
        <x:v>10a1922</x:v>
      </x:c>
      <x:c r="K35" s="69" t="str">
        <x:v>Verified</x:v>
      </x:c>
    </x:row>
    <x:row r="36" ht="15" hidden="0" customHeight="1">
      <x:c r="A36" s="69" t="str">
        <x:v>D-031</x:v>
      </x:c>
      <x:c r="B36" s="69" t="str">
        <x:v>Medium</x:v>
      </x:c>
      <x:c r="C36" s="69" t="str">
        <x:v>Table discovery</x:v>
      </x:c>
      <x:c r="D36" s="69" t="str">
        <x:v>A listed table whose host left still offered Join.</x:v>
      </x:c>
      <x:c r="E36" s="69" t="str">
        <x:v>List open table after host departure.</x:v>
      </x:c>
      <x:c r="F36" s="69" t="str">
        <x:v>Join disabled until host is present.</x:v>
      </x:c>
      <x:c r="G36" s="69" t="str">
        <x:v>Dead join path.</x:v>
      </x:c>
      <x:c r="H36" s="69" t="str">
        <x:v>Product review</x:v>
      </x:c>
      <x:c r="I36" s="69" t="str">
        <x:v>Client regression test</x:v>
      </x:c>
      <x:c r="J36" s="69" t="str">
        <x:v>9ae88f1</x:v>
      </x:c>
      <x:c r="K36" s="69" t="str">
        <x:v>Verified</x:v>
      </x:c>
    </x:row>
    <x:row r="37" ht="15" hidden="0" customHeight="1">
      <x:c r="A37" s="69" t="str">
        <x:v>D-032</x:v>
      </x:c>
      <x:c r="B37" s="69" t="str">
        <x:v>Low</x:v>
      </x:c>
      <x:c r="C37" s="69" t="str">
        <x:v>Invitations</x:v>
      </x:c>
      <x:c r="D37" s="69" t="str">
        <x:v>Relay invitation search could remain in a loading state forever.</x:v>
      </x:c>
      <x:c r="E37" s="69" t="str">
        <x:v>Return no relay events.</x:v>
      </x:c>
      <x:c r="F37" s="69" t="str">
        <x:v>Terminal empty state and retry.</x:v>
      </x:c>
      <x:c r="G37" s="69" t="str">
        <x:v>Indefinite listening message.</x:v>
      </x:c>
      <x:c r="H37" s="69" t="str">
        <x:v>Product review</x:v>
      </x:c>
      <x:c r="I37" s="69" t="str">
        <x:v>Client regression/source review</x:v>
      </x:c>
      <x:c r="J37" s="69" t="str">
        <x:v>9ae88f1</x:v>
      </x:c>
      <x:c r="K37" s="69" t="str">
        <x:v>Verified</x:v>
      </x:c>
    </x:row>
    <x:row r="38" ht="15" hidden="0" customHeight="1">
      <x:c r="A38" s="69" t="str">
        <x:v>D-033</x:v>
      </x:c>
      <x:c r="B38" s="69" t="str">
        <x:v>Medium</x:v>
      </x:c>
      <x:c r="C38" s="69" t="str">
        <x:v>Nostr publishing</x:v>
      </x:c>
      <x:c r="D38" s="69" t="str">
        <x:v>A failed relay publication was marked as already announced.</x:v>
      </x:c>
      <x:c r="E38" s="69" t="str">
        <x:v>Make relay publish fail then retry.</x:v>
      </x:c>
      <x:c r="F38" s="69" t="str">
        <x:v>Retry remains available.</x:v>
      </x:c>
      <x:c r="G38" s="69" t="str">
        <x:v>Failure suppressed future attempts.</x:v>
      </x:c>
      <x:c r="H38" s="69" t="str">
        <x:v>Product review</x:v>
      </x:c>
      <x:c r="I38" s="69" t="str">
        <x:v>Client regression test</x:v>
      </x:c>
      <x:c r="J38" s="69" t="str">
        <x:v>9ae88f1</x:v>
      </x:c>
      <x:c r="K38" s="69" t="str">
        <x:v>Verified</x:v>
      </x:c>
    </x:row>
    <x:row r="39" ht="15" hidden="0" customHeight="1">
      <x:c r="A39" s="69" t="str">
        <x:v>D-034</x:v>
      </x:c>
      <x:c r="B39" s="69" t="str">
        <x:v>Low</x:v>
      </x:c>
      <x:c r="C39" s="69" t="str">
        <x:v>Leaderboard storage</x:v>
      </x:c>
      <x:c r="D39" s="69" t="str">
        <x:v>Plain website had no local persistence fallback.</x:v>
      </x:c>
      <x:c r="E39" s="69" t="str">
        <x:v>Use without host shell.</x:v>
      </x:c>
      <x:c r="F39" s="69" t="str">
        <x:v>localStorage keeps scratch records.</x:v>
      </x:c>
      <x:c r="G39" s="69" t="str">
        <x:v>Records vanished on reload.</x:v>
      </x:c>
      <x:c r="H39" s="69" t="str">
        <x:v>Product review</x:v>
      </x:c>
      <x:c r="I39" s="69" t="str">
        <x:v>Storage unit tests</x:v>
      </x:c>
      <x:c r="J39" s="69" t="str">
        <x:v>9ae88f1</x:v>
      </x:c>
      <x:c r="K39" s="69" t="str">
        <x:v>Verified</x:v>
      </x:c>
    </x:row>
    <x:row r="40" ht="15" hidden="0" customHeight="1">
      <x:c r="A40" s="69" t="str">
        <x:v>D-035</x:v>
      </x:c>
      <x:c r="B40" s="69" t="str">
        <x:v>Low</x:v>
      </x:c>
      <x:c r="C40" s="69" t="str">
        <x:v>Rules consistency</x:v>
      </x:c>
      <x:c r="D40" s="69" t="str">
        <x:v>Builder and rulebook disagreed on the three-copy Basic Resource exception.</x:v>
      </x:c>
      <x:c r="E40" s="69" t="str">
        <x:v>Compare rulebook to engine validation.</x:v>
      </x:c>
      <x:c r="F40" s="69" t="str">
        <x:v>One consistent rule.</x:v>
      </x:c>
      <x:c r="G40" s="69" t="str">
        <x:v>Contradictory copy.</x:v>
      </x:c>
      <x:c r="H40" s="69" t="str">
        <x:v>Product review</x:v>
      </x:c>
      <x:c r="I40" s="69" t="str">
        <x:v>RUN-006 + RUN-010</x:v>
      </x:c>
      <x:c r="J40" s="69" t="str">
        <x:v>9ae88f1</x:v>
      </x:c>
      <x:c r="K40" s="69" t="str">
        <x:v>Verified</x:v>
      </x:c>
    </x:row>
    <x:row r="41" ht="15" hidden="0" customHeight="1">
      <x:c r="A41" s="69" t="str">
        <x:v>D-036</x:v>
      </x:c>
      <x:c r="B41" s="69" t="str">
        <x:v>High</x:v>
      </x:c>
      <x:c r="C41" s="69" t="str">
        <x:v>Wallet recovery</x:v>
      </x:c>
      <x:c r="D41" s="69" t="str">
        <x:v>Browser storage loss had no explicit bearer-asset backup/restore path.</x:v>
      </x:c>
      <x:c r="E41" s="69" t="str">
        <x:v>Reset browser profile.</x:v>
      </x:c>
      <x:c r="F41" s="69" t="str">
        <x:v>Download secret backup and restore only into empty wallet.</x:v>
      </x:c>
      <x:c r="G41" s="69" t="str">
        <x:v>Tokens/private key were unrecoverable.</x:v>
      </x:c>
      <x:c r="H41" s="69" t="str">
        <x:v>Product review</x:v>
      </x:c>
      <x:c r="I41" s="69" t="str">
        <x:v>RUN-005 + RUN-009</x:v>
      </x:c>
      <x:c r="J41" s="69" t="str">
        <x:v>04faa94</x:v>
      </x:c>
      <x:c r="K41" s="69" t="str">
        <x:v>Verified</x:v>
      </x:c>
    </x:row>
    <x:row r="42" ht="15" hidden="0" customHeight="1">
      <x:c r="A42" s="69" t="str">
        <x:v>D-037</x:v>
      </x:c>
      <x:c r="B42" s="69" t="str">
        <x:v>Low</x:v>
      </x:c>
      <x:c r="C42" s="69" t="str">
        <x:v>Cross-applet UX</x:v>
      </x:c>
      <x:c r="D42" s="69" t="str">
        <x:v>Send to Stack Builder saved data but left the user in the shop.</x:v>
      </x:c>
      <x:c r="E42" s="69" t="str">
        <x:v>Open free pack and click Send.</x:v>
      </x:c>
      <x:c r="F42" s="69" t="str">
        <x:v>Navigate to builder and load saved collection.</x:v>
      </x:c>
      <x:c r="G42" s="69" t="str">
        <x:v>User had to discover the next page manually.</x:v>
      </x:c>
      <x:c r="H42" s="69" t="str">
        <x:v>RUN-010</x:v>
      </x:c>
      <x:c r="I42" s="69" t="str">
        <x:v>Browser handoff regression</x:v>
      </x:c>
      <x:c r="J42" s="69" t="str">
        <x:v>b1fd2bf</x:v>
      </x:c>
      <x:c r="K42" s="69" t="str">
        <x:v>Verified</x:v>
      </x:c>
    </x:row>
    <x:row r="43" ht="15" hidden="0" customHeight="1">
      <x:c r="A43" s="69" t="str">
        <x:v>D-038</x:v>
      </x:c>
      <x:c r="B43" s="69" t="str">
        <x:v>Medium</x:v>
      </x:c>
      <x:c r="C43" s="69" t="str">
        <x:v>Card metadata</x:v>
      </x:c>
      <x:c r="D43" s="69" t="str">
        <x:v>Catalog omitted gameplay/display fields from the supplied Blossom manifest.</x:v>
      </x:c>
      <x:c r="E43" s="69" t="str">
        <x:v>Inspect signed catalog entry.</x:v>
      </x:c>
      <x:c r="F43" s="69" t="str">
        <x:v>Expose inert full metadata and face hashes.</x:v>
      </x:c>
      <x:c r="G43" s="69" t="str">
        <x:v>Wallet/catalog had a reduced card subset.</x:v>
      </x:c>
      <x:c r="H43" s="69" t="str">
        <x:v>Manifest comparison</x:v>
      </x:c>
      <x:c r="I43" s="69" t="str">
        <x:v>Catalog metadata test</x:v>
      </x:c>
      <x:c r="J43" s="69" t="str">
        <x:v>93210b6</x:v>
      </x:c>
      <x:c r="K43" s="69" t="str">
        <x:v>Verified</x:v>
      </x:c>
    </x:row>
    <x:row r="44" ht="15" hidden="0" customHeight="1">
      <x:c r="A44" s="69" t="str">
        <x:v>D-039</x:v>
      </x:c>
      <x:c r="B44" s="69" t="str">
        <x:v>Low</x:v>
      </x:c>
      <x:c r="C44" s="69" t="str">
        <x:v>Wallet feedback</x:v>
      </x:c>
      <x:c r="D44" s="69" t="str">
        <x:v>Sender proof count stayed stale after a successful transfer.</x:v>
      </x:c>
      <x:c r="E44" s="69" t="str">
        <x:v>Transfer card without reload.</x:v>
      </x:c>
      <x:c r="F44" s="69" t="str">
        <x:v>Count immediately changes 7→6 while token remains copyable.</x:v>
      </x:c>
      <x:c r="G44" s="69" t="str">
        <x:v>Tile disappeared but chip still said seven.</x:v>
      </x:c>
      <x:c r="H44" s="69" t="str">
        <x:v>RUN-009</x:v>
      </x:c>
      <x:c r="I44" s="69" t="str">
        <x:v>Two-wallet browser assertion</x:v>
      </x:c>
      <x:c r="J44" s="69" t="str">
        <x:v>5266c8d</x:v>
      </x:c>
      <x:c r="K44" s="69" t="str">
        <x:v>Verified</x:v>
      </x:c>
    </x:row>
    <x:row r="45" ht="21.600000381469727" hidden="0" customHeight="1">
      <x:c r="A45" s="69" t="str">
        <x:v>D-040</x:v>
      </x:c>
      <x:c r="B45" s="69" t="str">
        <x:v>Critical</x:v>
      </x:c>
      <x:c r="C45" s="69" t="str">
        <x:v>Mint configuration</x:v>
      </x:c>
      <x:c r="D45" s="69" t="str">
        <x:v>A persisted mint could restart under a different census, collection, or catalog URI and split CardBinding compatibility.</x:v>
      </x:c>
      <x:c r="E45" s="69" t="str">
        <x:v>Create database, restart with changed catalog URI.</x:v>
      </x:c>
      <x:c r="F45" s="69" t="str">
        <x:v>Refuse boot and close the database handle.</x:v>
      </x:c>
      <x:c r="G45" s="69" t="str">
        <x:v>Persisted keys/state were reused with a new binding namespace.</x:v>
      </x:c>
      <x:c r="H45" s="69" t="str">
        <x:v>Remote branch regression review</x:v>
      </x:c>
      <x:c r="I45" s="69" t="str">
        <x:v>Focused restart/config test</x:v>
      </x:c>
      <x:c r="J45" s="69" t="str">
        <x:v>bb1731c</x:v>
      </x:c>
      <x:c r="K45" s="69" t="str">
        <x:v>Verified</x:v>
      </x:c>
    </x:row>
  </x:sheetData>
  <x:mergeCells>
    <x:mergeCell ref="A1:K1"/>
    <x:mergeCell ref="A2:K2"/>
  </x:mergeCells>
  <x:conditionalFormatting sqref="K6:K45">
    <x:cfRule type="containsText" dxfId="8" priority="1" operator="containsText" text="Pass"/>
    <x:cfRule type="containsText" dxfId="9" priority="2" operator="containsText" text="Fail"/>
    <x:cfRule type="containsText" dxfId="10" priority="3" operator="containsText" text="Blocked"/>
    <x:cfRule type="containsText" dxfId="11" priority="4" operator="containsText" text="Not Run"/>
  </x:conditionalFormatting>
  <x:conditionalFormatting sqref="B6:B45">
    <x:cfRule type="containsText" dxfId="12" priority="5" operator="containsText" text="Critical"/>
    <x:cfRule type="containsText" dxfId="13" priority="6" operator="containsText" text="High"/>
  </x:conditionalFormatting>
  <x:dataValidations count="2">
    <x:dataValidation type="list" sqref="B6:B45">
      <x:formula1>"Critical,High,Medium,Low"</x:formula1>
    </x:dataValidation>
    <x:dataValidation type="list" sqref="K6:K45">
      <x:formula1>"Open,In Progress,Fixed,Verified,Triaged,Won't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1f5f9f293348c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30" hidden="0" customWidth="1"/>
    <x:col min="4" max="4" width="58" hidden="0" customWidth="1"/>
    <x:col min="5" max="5" width="14" hidden="0" customWidth="1"/>
    <x:col min="6" max="6" width="10" hidden="0" customWidth="1"/>
    <x:col min="7" max="7" width="10" hidden="0" customWidth="1"/>
    <x:col min="8" max="8" width="10" hidden="0" customWidth="1"/>
    <x:col min="9" max="9" width="55" hidden="0" customWidth="1"/>
    <x:col min="10" max="10" width="52" hidden="0" customWidth="1"/>
  </x:cols>
  <x:sheetData>
    <x:row r="1" ht="15" hidden="0" customHeight="1">
      <x:c r="A1" s="65" t="str">
        <x:v>Test runs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Immutable evidence log. A story status should cite one of these runs or a narrower reproducible check.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7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</x:row>
    <x:row r="5" ht="15" hidden="0" customHeight="1">
      <x:c r="A5" s="60" t="str">
        <x:v>Run ID</x:v>
      </x:c>
      <x:c r="B5" s="61" t="str">
        <x:v>Timestamp</x:v>
      </x:c>
      <x:c r="C5" s="61" t="str">
        <x:v>Scope</x:v>
      </x:c>
      <x:c r="D5" s="61" t="str">
        <x:v>Command / steps</x:v>
      </x:c>
      <x:c r="E5" s="61" t="str">
        <x:v>Result</x:v>
      </x:c>
      <x:c r="F5" s="61" t="str">
        <x:v>Pass</x:v>
      </x:c>
      <x:c r="G5" s="61" t="str">
        <x:v>Fail</x:v>
      </x:c>
      <x:c r="H5" s="61" t="str">
        <x:v>Blocked</x:v>
      </x:c>
      <x:c r="I5" s="61" t="str">
        <x:v>Evidence</x:v>
      </x:c>
      <x:c r="J5" s="62" t="str">
        <x:v>Notes</x:v>
      </x:c>
    </x:row>
    <x:row r="6" ht="15" hidden="0" customHeight="1">
      <x:c r="A6" s="69" t="str">
        <x:v>RUN-001</x:v>
      </x:c>
      <x:c r="B6" s="70" t="n">
        <x:v>46254.02847222222</x:v>
      </x:c>
      <x:c r="C6" s="69" t="str">
        <x:v>JavaScript suite</x:v>
      </x:c>
      <x:c r="D6" s="69" t="str">
        <x:v>npm run test:js</x:v>
      </x:c>
      <x:c r="E6" s="69" t="str">
        <x:v>Pass</x:v>
      </x:c>
      <x:c r="F6" s="71" t="n">
        <x:v>311</x:v>
      </x:c>
      <x:c r="G6" s="71" t="n">
        <x:v>0</x:v>
      </x:c>
      <x:c r="H6" s="71" t="n">
        <x:v>0</x:v>
      </x:c>
      <x:c r="I6" s="69" t="str">
        <x:v>311 tests passed in 19.7s</x:v>
      </x:c>
      <x:c r="J6" s="69" t="str">
        <x:v>Does not execute wallet page reload</x:v>
      </x:c>
    </x:row>
    <x:row r="7" ht="15" hidden="0" customHeight="1">
      <x:c r="A7" s="69" t="str">
        <x:v>RUN-002</x:v>
      </x:c>
      <x:c r="B7" s="70" t="n">
        <x:v>46254.02847222222</x:v>
      </x:c>
      <x:c r="C7" s="69" t="str">
        <x:v>Python repository suite</x:v>
      </x:c>
      <x:c r="D7" s="69" t="str">
        <x:v>uv run --frozen pytest -q</x:v>
      </x:c>
      <x:c r="E7" s="69" t="str">
        <x:v>Fail</x:v>
      </x:c>
      <x:c r="F7" s="71" t="n">
        <x:v>101</x:v>
      </x:c>
      <x:c r="G7" s="71" t="n">
        <x:v>7</x:v>
      </x:c>
      <x:c r="H7" s="71" t="n">
        <x:v>0</x:v>
      </x:c>
      <x:c r="I7" s="69" t="str">
        <x:v>7 failed, 101 passed</x:v>
      </x:c>
      <x:c r="J7" s="69" t="str">
        <x:v>D-012 is PR regression; D-018 groups six pre-existing fixture/font failures</x:v>
      </x:c>
    </x:row>
    <x:row r="8" ht="15" hidden="0" customHeight="1">
      <x:c r="A8" s="69" t="str">
        <x:v>RUN-003</x:v>
      </x:c>
      <x:c r="B8" s="70" t="n">
        <x:v>46254.02847222222</x:v>
      </x:c>
      <x:c r="C8" s="69" t="str">
        <x:v>14-page browser route baseline</x:v>
      </x:c>
      <x:c r="D8" s="69" t="str">
        <x:v>Headless Chromium; open every site/*.html surface</x:v>
      </x:c>
      <x:c r="E8" s="69" t="str">
        <x:v>Pass</x:v>
      </x:c>
      <x:c r="F8" s="71" t="n">
        <x:v>14</x:v>
      </x:c>
      <x:c r="G8" s="71" t="n">
        <x:v>0</x:v>
      </x:c>
      <x:c r="H8" s="71" t="n">
        <x:v>0</x:v>
      </x:c>
      <x:c r="I8" s="69" t="str">
        <x:v>All routes HTTP 200 with headings/titles</x:v>
      </x:c>
      <x:c r="J8" s="69" t="str">
        <x:v>play.html logged unidentified 404 (D-017)</x:v>
      </x:c>
    </x:row>
    <x:row r="9" ht="15" hidden="0" customHeight="1">
      <x:c r="A9" s="69" t="str">
        <x:v>RUN-004</x:v>
      </x:c>
      <x:c r="B9" s="70" t="n">
        <x:v>46254.02847222222</x:v>
      </x:c>
      <x:c r="C9" s="69" t="str">
        <x:v>NutFT purchase→wallet reload</x:v>
      </x:c>
      <x:c r="D9" s="69" t="str">
        <x:v>Buy /shop.html?shop=mint booster; inspect localStorage; open /wallet.html</x:v>
      </x:c>
      <x:c r="E9" s="69" t="str">
        <x:v>Fail</x:v>
      </x:c>
      <x:c r="F9" s="71" t="n">
        <x:v>1</x:v>
      </x:c>
      <x:c r="G9" s="71" t="n">
        <x:v>1</x:v>
      </x:c>
      <x:c r="H9" s="71" t="n">
        <x:v>0</x:v>
      </x:c>
      <x:c r="I9" s="69" t="str">
        <x:v>Purchase stored 4,945-byte Cashu token; wallet showed keyset error</x:v>
      </x:c>
      <x:c r="J9" s="69" t="str">
        <x:v>D-001</x:v>
      </x:c>
    </x:row>
    <x:row r="10" ht="32.400001525878906" hidden="0" customHeight="1">
      <x:c r="A10" s="69" t="str">
        <x:v>RUN-005</x:v>
      </x:c>
      <x:c r="B10" s="70" t="n">
        <x:v>46254.02847222222</x:v>
      </x:c>
      <x:c r="C10" s="69" t="str">
        <x:v>Focused NutFT protocol and wallet suite</x:v>
      </x:c>
      <x:c r="D10" s="69" t="str">
        <x:v>node --test tests/js/nutft.test.mjs</x:v>
      </x:c>
      <x:c r="E10" s="69" t="str">
        <x:v>Pass</x:v>
      </x:c>
      <x:c r="F10" s="71" t="n">
        <x:v>5</x:v>
      </x:c>
      <x:c r="G10" s="71" t="n">
        <x:v>0</x:v>
      </x:c>
      <x:c r="H10" s="71" t="n">
        <x:v>0</x:v>
      </x:c>
      <x:c r="I10" s="69" t="str">
        <x:v>Output openings, URI/config validation, two-wallet transfer/import, backup/restore, lost-response recovery, restart persistence, DLEQ, P2BK, binding, checkstate, swap/melt rejection</x:v>
      </x:c>
      <x:c r="J10" s="69" t="str">
        <x:v>Final branch</x:v>
      </x:c>
    </x:row>
    <x:row r="11" ht="15" hidden="0" customHeight="1">
      <x:c r="A11" s="69" t="str">
        <x:v>RUN-006</x:v>
      </x:c>
      <x:c r="B11" s="70" t="n">
        <x:v>46254.02847222222</x:v>
      </x:c>
      <x:c r="C11" s="69" t="str">
        <x:v>Complete JavaScript suite</x:v>
      </x:c>
      <x:c r="D11" s="69" t="str">
        <x:v>npm run test:js</x:v>
      </x:c>
      <x:c r="E11" s="69" t="str">
        <x:v>Pass</x:v>
      </x:c>
      <x:c r="F11" s="71" t="n">
        <x:v>316</x:v>
      </x:c>
      <x:c r="G11" s="71" t="n">
        <x:v>0</x:v>
      </x:c>
      <x:c r="H11" s="71" t="n">
        <x:v>0</x:v>
      </x:c>
      <x:c r="I11" s="69" t="str">
        <x:v>316 tests passed</x:v>
      </x:c>
      <x:c r="J11" s="69" t="str">
        <x:v>Engine, client, transport, online play, ladder, Cashu/NutFT, card waves, QR, and crypto</x:v>
      </x:c>
    </x:row>
    <x:row r="12" ht="15" hidden="0" customHeight="1">
      <x:c r="A12" s="69" t="str">
        <x:v>RUN-007</x:v>
      </x:c>
      <x:c r="B12" s="70" t="n">
        <x:v>46254.02847222222</x:v>
      </x:c>
      <x:c r="C12" s="69" t="str">
        <x:v>Complete Python repository suite</x:v>
      </x:c>
      <x:c r="D12" s="69" t="str">
        <x:v>uv run --frozen pytest -q</x:v>
      </x:c>
      <x:c r="E12" s="69" t="str">
        <x:v>Fail</x:v>
      </x:c>
      <x:c r="F12" s="71" t="n">
        <x:v>102</x:v>
      </x:c>
      <x:c r="G12" s="71" t="n">
        <x:v>6</x:v>
      </x:c>
      <x:c r="H12" s="71" t="n">
        <x:v>0</x:v>
      </x:c>
      <x:c r="I12" s="69" t="str">
        <x:v>102 passed; six failures require absent historical art manifests or host-specific Arial metrics</x:v>
      </x:c>
      <x:c r="J12" s="69" t="str">
        <x:v>D-018 only; no NutFT/runtime failure</x:v>
      </x:c>
    </x:row>
    <x:row r="13" ht="21.600000381469727" hidden="0" customHeight="1">
      <x:c r="A13" s="69" t="str">
        <x:v>RUN-008</x:v>
      </x:c>
      <x:c r="B13" s="70" t="n">
        <x:v>46254.02847222222</x:v>
      </x:c>
      <x:c r="C13" s="69" t="str">
        <x:v>Final browser route matrix</x:v>
      </x:c>
      <x:c r="D13" s="69" t="str">
        <x:v>Headless Chromium; 14 primary routes on fresh table server</x:v>
      </x:c>
      <x:c r="E13" s="69" t="str">
        <x:v>Pass</x:v>
      </x:c>
      <x:c r="F13" s="71" t="n">
        <x:v>14</x:v>
      </x:c>
      <x:c r="G13" s="71" t="n">
        <x:v>0</x:v>
      </x:c>
      <x:c r="H13" s="71" t="n">
        <x:v>0</x:v>
      </x:c>
      <x:c r="I13" s="69" t="str">
        <x:v>Every route returned HTTP 200; no same-origin console/page/network error; favicon 404 removed</x:v>
      </x:c>
      <x:c r="J13" s="69" t="str">
        <x:v>External relay availability is non-authoritative</x:v>
      </x:c>
    </x:row>
    <x:row r="14" ht="21.600000381469727" hidden="0" customHeight="1">
      <x:c r="A14" s="69" t="str">
        <x:v>RUN-009</x:v>
      </x:c>
      <x:c r="B14" s="70" t="n">
        <x:v>46254.02847222222</x:v>
      </x:c>
      <x:c r="C14" s="69" t="str">
        <x:v>NutFT two-wallet browser E2E</x:v>
      </x:c>
      <x:c r="D14" s="69" t="str">
        <x:v>Mint booster; verify seven cards; download backup; transfer one card; import in second context; open deck builder</x:v>
      </x:c>
      <x:c r="E14" s="69" t="str">
        <x:v>Pass</x:v>
      </x:c>
      <x:c r="F14" s="71" t="n">
        <x:v>6</x:v>
      </x:c>
      <x:c r="G14" s="71" t="n">
        <x:v>0</x:v>
      </x:c>
      <x:c r="H14" s="71" t="n">
        <x:v>0</x:v>
      </x:c>
      <x:c r="I14" s="69" t="str">
        <x:v>7 minted; sender 6; recipient 1; DLEQ/P2BK/Blossom checks visible; deck shows six owned cards</x:v>
      </x:c>
      <x:c r="J14" s="69" t="str">
        <x:v>Screenshots and report in dev-browser tmp/nutft-final</x:v>
      </x:c>
    </x:row>
    <x:row r="15" ht="21.600000381469727" hidden="0" customHeight="1">
      <x:c r="A15" s="69" t="str">
        <x:v>RUN-010</x:v>
      </x:c>
      <x:c r="B15" s="70" t="n">
        <x:v>46254.02847222222</x:v>
      </x:c>
      <x:c r="C15" s="69" t="str">
        <x:v>Platform interaction and mobile matrix</x:v>
      </x:c>
      <x:c r="D15" s="69" t="str">
        <x:v>Browser keyboard/search/filter/dialog/deck/shop/play/rules/FX flows plus eight routes at 390×844</x:v>
      </x:c>
      <x:c r="E15" s="69" t="str">
        <x:v>Pass</x:v>
      </x:c>
      <x:c r="F15" s="71" t="n">
        <x:v>17</x:v>
      </x:c>
      <x:c r="G15" s="71" t="n">
        <x:v>0</x:v>
      </x:c>
      <x:c r="H15" s="71" t="n">
        <x:v>0</x:v>
      </x:c>
      <x:c r="I15" s="69" t="str">
        <x:v>296-card gallery, legal 40-card save/reload, free pack persistence/verification/handoff, seeded NPC match, rules/FX, no horizontal overflow</x:v>
      </x:c>
      <x:c r="J15" s="69" t="str">
        <x:v>Online/action state machines covered by RUN-006</x:v>
      </x:c>
    </x:row>
  </x:sheetData>
  <x:mergeCells>
    <x:mergeCell ref="A1:J1"/>
    <x:mergeCell ref="A2:J2"/>
  </x:mergeCells>
  <x:conditionalFormatting sqref="E6:E15">
    <x:cfRule type="containsText" dxfId="14" priority="1" operator="containsText" text="Pass"/>
    <x:cfRule type="containsText" dxfId="15" priority="2" operator="containsText" text="Fail"/>
    <x:cfRule type="containsText" dxfId="16" priority="3" operator="containsText" text="Blocked"/>
    <x:cfRule type="containsText" dxfId="17" priority="4" operator="containsText" text="Not Run"/>
  </x:conditionalFormatting>
  <x:pageMargins left="0.7" right="0.7" top="0.75" bottom="0.75" header="0.3" footer="0.3"/>
  <x:tableParts count="1">
    <x:tablePart xmlns:r="http://schemas.openxmlformats.org/officeDocument/2006/relationships" r:id="R71b8d5d96c1e4df4"/>
  </x:tableParts>
</x:worksheet>
</file>